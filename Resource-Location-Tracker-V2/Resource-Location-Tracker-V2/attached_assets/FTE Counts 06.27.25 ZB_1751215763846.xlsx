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birdelectricinc-my.sharepoint.com/personal/zbrooks_birdelectricinc_com/Documents/Desktop/"/>
    </mc:Choice>
  </mc:AlternateContent>
  <xr:revisionPtr revIDLastSave="4" documentId="8_{19EA6CA7-8449-4E1C-83B0-DFF670523BDB}" xr6:coauthVersionLast="47" xr6:coauthVersionMax="47" xr10:uidLastSave="{1E11678A-F295-4379-A9E2-9D0E36B8C88B}"/>
  <bookViews>
    <workbookView xWindow="28680" yWindow="-120" windowWidth="29040" windowHeight="15720" tabRatio="866" xr2:uid="{00000000-000D-0000-FFFF-FFFF00000000}"/>
  </bookViews>
  <sheets>
    <sheet name="6.27.25 ZB" sheetId="23" r:id="rId1"/>
    <sheet name="6.7.25 ZB" sheetId="21" r:id="rId2"/>
    <sheet name="5.27.25 BH" sheetId="20" r:id="rId3"/>
    <sheet name="5.24.25 BH" sheetId="17" r:id="rId4"/>
    <sheet name="AEP WV 5.16.25" sheetId="18" r:id="rId5"/>
    <sheet name="LGE KU 5.16.25" sheetId="19" r:id="rId6"/>
    <sheet name="4.4.25 BH" sheetId="16" r:id="rId7"/>
    <sheet name="4.3.25 BH" sheetId="15" r:id="rId8"/>
    <sheet name="Updated BH 4.2.25" sheetId="13" r:id="rId9"/>
    <sheet name="4.2.25 sub counts" sheetId="1" r:id="rId10"/>
    <sheet name="Duke Midwest" sheetId="12" r:id="rId11"/>
    <sheet name="Rick Wiseman AEP" sheetId="10" r:id="rId12"/>
    <sheet name="Updated Entergy AR" sheetId="14" r:id="rId13"/>
    <sheet name="Entergy AR" sheetId="11" r:id="rId14"/>
    <sheet name="NIPSCO" sheetId="9" r:id="rId15"/>
    <sheet name="DTE" sheetId="8" r:id="rId16"/>
    <sheet name="GA Power" sheetId="5" r:id="rId17"/>
    <sheet name="Alabama Power" sheetId="4" r:id="rId18"/>
    <sheet name="Entergy" sheetId="2" r:id="rId19"/>
    <sheet name="AEP " sheetId="6" r:id="rId20"/>
    <sheet name="Sheet1" sheetId="22" r:id="rId21"/>
    <sheet name="Mileage sheet " sheetId="7" r:id="rId22"/>
  </sheets>
  <definedNames>
    <definedName name="_xlnm._FilterDatabase" localSheetId="9" hidden="1">'4.2.25 sub counts'!$A$1:$R$132</definedName>
    <definedName name="_xlnm._FilterDatabase" localSheetId="7" hidden="1">'4.3.25 BH'!$A$1:$S$138</definedName>
    <definedName name="_xlnm._FilterDatabase" localSheetId="6" hidden="1">'4.4.25 BH'!$A$1:$S$139</definedName>
    <definedName name="_xlnm._FilterDatabase" localSheetId="3" hidden="1">'5.24.25 BH'!$A$1:$U$172</definedName>
    <definedName name="_xlnm._FilterDatabase" localSheetId="2" hidden="1">'5.27.25 BH'!$A$1:$U$181</definedName>
    <definedName name="_xlnm._FilterDatabase" localSheetId="0" hidden="1">'6.27.25 ZB'!$A$1:$Q$207</definedName>
    <definedName name="_xlnm._FilterDatabase" localSheetId="1" hidden="1">'6.7.25 ZB'!$A$1:$U$185</definedName>
    <definedName name="_xlnm._FilterDatabase" localSheetId="19" hidden="1">'AEP '!$A$1:$D$1</definedName>
    <definedName name="_xlnm._FilterDatabase" localSheetId="4" hidden="1">'AEP WV 5.16.25'!$A$1:$S$1048457</definedName>
    <definedName name="_xlnm._FilterDatabase" localSheetId="17" hidden="1">'Alabama Power'!$A$1:$D$1</definedName>
    <definedName name="_xlnm._FilterDatabase" localSheetId="15" hidden="1">DTE!$A$1:$D$1</definedName>
    <definedName name="_xlnm._FilterDatabase" localSheetId="18" hidden="1">Entergy!$A$1:$D$1</definedName>
    <definedName name="_xlnm._FilterDatabase" localSheetId="13" hidden="1">'Entergy AR'!$A$1:$R$1048492</definedName>
    <definedName name="_xlnm._FilterDatabase" localSheetId="16" hidden="1">'GA Power'!$A$1:$D$1</definedName>
    <definedName name="_xlnm._FilterDatabase" localSheetId="5" hidden="1">'LGE KU 5.16.25'!$A$1:$S$1048460</definedName>
    <definedName name="_xlnm._FilterDatabase" localSheetId="11" hidden="1">'Rick Wiseman AEP'!$A$1:$Q$43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4" i="21" l="1"/>
  <c r="T144" i="21"/>
  <c r="T117" i="21"/>
  <c r="T116" i="21"/>
  <c r="T115" i="21"/>
  <c r="T114" i="21"/>
  <c r="T113" i="21"/>
  <c r="T112" i="21"/>
  <c r="U171" i="21"/>
  <c r="U164" i="21"/>
  <c r="U155" i="21"/>
  <c r="U138" i="21"/>
  <c r="U124" i="21"/>
  <c r="U121" i="21"/>
  <c r="U120" i="21"/>
  <c r="U117" i="21"/>
  <c r="U116" i="21"/>
  <c r="U115" i="21"/>
  <c r="U114" i="21"/>
  <c r="U113" i="21"/>
  <c r="U112" i="21"/>
  <c r="U184" i="21"/>
  <c r="U170" i="21"/>
  <c r="U149" i="21"/>
  <c r="U148" i="21"/>
  <c r="U147" i="21"/>
  <c r="U145" i="21"/>
  <c r="U130" i="21"/>
  <c r="U122" i="21"/>
  <c r="U108" i="21"/>
  <c r="U107" i="21"/>
  <c r="U104" i="21"/>
  <c r="U103" i="21"/>
  <c r="U101" i="21"/>
  <c r="U88" i="21"/>
  <c r="U86" i="21"/>
  <c r="U85" i="21"/>
  <c r="U84" i="21"/>
  <c r="U60" i="21"/>
  <c r="U59" i="21"/>
  <c r="U57" i="21"/>
  <c r="U56" i="21"/>
  <c r="U51" i="21"/>
  <c r="U27" i="21"/>
  <c r="U18" i="21"/>
  <c r="U16" i="21"/>
  <c r="U15" i="21"/>
  <c r="U3" i="21"/>
  <c r="U2" i="21"/>
  <c r="T171" i="21"/>
  <c r="T184" i="21"/>
  <c r="T170" i="21"/>
  <c r="T147" i="21"/>
  <c r="T164" i="21"/>
  <c r="T149" i="21"/>
  <c r="T145" i="21"/>
  <c r="T148" i="21"/>
  <c r="T138" i="21"/>
  <c r="T124" i="21"/>
  <c r="T122" i="21"/>
  <c r="T121" i="21"/>
  <c r="T120" i="21"/>
  <c r="T108" i="21"/>
  <c r="T107" i="21"/>
  <c r="T104" i="21"/>
  <c r="T103" i="21"/>
  <c r="T101" i="21"/>
  <c r="T88" i="21"/>
  <c r="T86" i="21"/>
  <c r="T85" i="21"/>
  <c r="T84" i="21"/>
  <c r="T59" i="21"/>
  <c r="T60" i="21"/>
  <c r="T57" i="21"/>
  <c r="T56" i="21"/>
  <c r="T51" i="21"/>
  <c r="T27" i="21"/>
  <c r="T18" i="21"/>
  <c r="T16" i="21"/>
  <c r="T15" i="21"/>
  <c r="T2" i="21"/>
  <c r="H185" i="21"/>
  <c r="H181" i="20"/>
  <c r="H176" i="17"/>
  <c r="AB40" i="19"/>
  <c r="H67" i="19"/>
  <c r="E60" i="18"/>
  <c r="H60" i="16"/>
  <c r="H60" i="15"/>
  <c r="C33" i="14" l="1"/>
  <c r="G12" i="12"/>
  <c r="S44" i="10" l="1"/>
  <c r="Q44" i="10"/>
  <c r="D32" i="9"/>
  <c r="E23" i="9"/>
  <c r="H7" i="9"/>
  <c r="C33" i="8"/>
  <c r="C57" i="6"/>
  <c r="C56" i="6"/>
  <c r="C24" i="2"/>
  <c r="C57" i="4"/>
  <c r="C56" i="4"/>
  <c r="C33" i="5"/>
</calcChain>
</file>

<file path=xl/sharedStrings.xml><?xml version="1.0" encoding="utf-8"?>
<sst xmlns="http://schemas.openxmlformats.org/spreadsheetml/2006/main" count="11265" uniqueCount="791">
  <si>
    <t>Contractor</t>
  </si>
  <si>
    <t>Category</t>
  </si>
  <si>
    <t>Avetta</t>
  </si>
  <si>
    <t>Email</t>
  </si>
  <si>
    <t>Phone</t>
  </si>
  <si>
    <t>Bird Rep</t>
  </si>
  <si>
    <t>Location</t>
  </si>
  <si>
    <t>FTE</t>
  </si>
  <si>
    <t>Bucket</t>
  </si>
  <si>
    <t>Digger</t>
  </si>
  <si>
    <t>Pickup</t>
  </si>
  <si>
    <t>BYM</t>
  </si>
  <si>
    <t>Travel time to Huntington, WV</t>
  </si>
  <si>
    <t>Travel time to Little Rock, AR</t>
  </si>
  <si>
    <t>Travel time to Detroit MI</t>
  </si>
  <si>
    <t>Travel Time to Texarkana, TX (hrs)</t>
  </si>
  <si>
    <t>Travel Time to Atlanta, GA (hrs)</t>
  </si>
  <si>
    <t>Travel Time to Baton Rouge, LA (hrs)</t>
  </si>
  <si>
    <t>Travel Time to Birmingham, AL (hrs)</t>
  </si>
  <si>
    <t>Travel time to Raleigh, NC (hrs)</t>
  </si>
  <si>
    <t>3Phase Power</t>
  </si>
  <si>
    <t>Union</t>
  </si>
  <si>
    <t>Yes</t>
  </si>
  <si>
    <t>shannon@3phase-power.net</t>
  </si>
  <si>
    <t>(423) 834-2914</t>
  </si>
  <si>
    <t>Randall</t>
  </si>
  <si>
    <t>Chattanooga, TN</t>
  </si>
  <si>
    <t>3S</t>
  </si>
  <si>
    <t>Non-Union</t>
  </si>
  <si>
    <t>No</t>
  </si>
  <si>
    <t>Felix.garza@3-sservices.com</t>
  </si>
  <si>
    <t>(432) 934-1937</t>
  </si>
  <si>
    <t>Josh</t>
  </si>
  <si>
    <t>Pleasanton, TX</t>
  </si>
  <si>
    <t>Midland, TX</t>
  </si>
  <si>
    <t>4G Electric</t>
  </si>
  <si>
    <t>Hadley@4gelectricinc.com</t>
  </si>
  <si>
    <t>(575) 749-0161</t>
  </si>
  <si>
    <t>Brian</t>
  </si>
  <si>
    <t>Ruidoso, NM</t>
  </si>
  <si>
    <t xml:space="preserve">7 Utilities </t>
  </si>
  <si>
    <t>Dennis.obregon@sevenutilityserices.com</t>
  </si>
  <si>
    <t>(760) 881-5779</t>
  </si>
  <si>
    <t>Chris</t>
  </si>
  <si>
    <t>Sherlls, NC</t>
  </si>
  <si>
    <t>7 Utility Services</t>
  </si>
  <si>
    <t>Clinton, MS</t>
  </si>
  <si>
    <t xml:space="preserve">A1 Utility </t>
  </si>
  <si>
    <t>troy@a1utilitycontractor.com</t>
  </si>
  <si>
    <t>(989) 324-8581</t>
  </si>
  <si>
    <t>Nathan/Kyle</t>
  </si>
  <si>
    <t>Gas City, IN</t>
  </si>
  <si>
    <t>Adler Tree</t>
  </si>
  <si>
    <t>Veg</t>
  </si>
  <si>
    <t>Domenicpisani@adlertree.com</t>
  </si>
  <si>
    <t>(724)971-2360</t>
  </si>
  <si>
    <t>Trevor</t>
  </si>
  <si>
    <t>Gibsonia, PA</t>
  </si>
  <si>
    <t>Advent Power</t>
  </si>
  <si>
    <t>dsouth@adventup.com</t>
  </si>
  <si>
    <t>(256) 214-7370</t>
  </si>
  <si>
    <t>Huntsville, AL</t>
  </si>
  <si>
    <t xml:space="preserve">Aequitas Power </t>
  </si>
  <si>
    <t>art.gregory@aequitaspower.com</t>
  </si>
  <si>
    <t>(270) 766-9073</t>
  </si>
  <si>
    <t>Randall/Kyle</t>
  </si>
  <si>
    <t>Elizabethtown, KY</t>
  </si>
  <si>
    <t>Alsup</t>
  </si>
  <si>
    <t>alsupandbros@yahoo.com</t>
  </si>
  <si>
    <t>(573) 620-6291</t>
  </si>
  <si>
    <t xml:space="preserve">American Made Tree Service, Inc. </t>
  </si>
  <si>
    <t>Info@americanmadetree.com</t>
  </si>
  <si>
    <t>(734) 773-2007</t>
  </si>
  <si>
    <t>Detroit, MI</t>
  </si>
  <si>
    <t>AndPower</t>
  </si>
  <si>
    <t>Laurie@AndPowerGroup.com</t>
  </si>
  <si>
    <t>(252) 702-1749</t>
  </si>
  <si>
    <t>Lynchburg, VA</t>
  </si>
  <si>
    <t>Arbor Works</t>
  </si>
  <si>
    <t>amanda.smith@arborworksinc.com</t>
  </si>
  <si>
    <t>609-937-6018</t>
  </si>
  <si>
    <t>Scott</t>
  </si>
  <si>
    <t>Minnesota</t>
  </si>
  <si>
    <t>Atkins Electric</t>
  </si>
  <si>
    <t>Aprilm@atkinselectric.com</t>
  </si>
  <si>
    <t>(870) 814-2158</t>
  </si>
  <si>
    <t>Windsor Locks, CT</t>
  </si>
  <si>
    <t>Atkins Electric (city used New Orleans)</t>
  </si>
  <si>
    <t>South, LA</t>
  </si>
  <si>
    <t xml:space="preserve">Atlantic Power Contruction </t>
  </si>
  <si>
    <t>Adesrosiers@useapc.com</t>
  </si>
  <si>
    <t>(207) 248-2471</t>
  </si>
  <si>
    <t>Kyle</t>
  </si>
  <si>
    <t>Maine</t>
  </si>
  <si>
    <t>Conover, NC</t>
  </si>
  <si>
    <t>AVO Electric</t>
  </si>
  <si>
    <t>avo.electricllc@gmail.com</t>
  </si>
  <si>
    <t>413-271-2731</t>
  </si>
  <si>
    <t>Newburgh, NY</t>
  </si>
  <si>
    <t>B &amp; C Tree Services</t>
  </si>
  <si>
    <t>bcrileytreeservices@yahoo.com</t>
  </si>
  <si>
    <t>(601) 606-9950</t>
  </si>
  <si>
    <t xml:space="preserve">Summall, MS </t>
  </si>
  <si>
    <t>B&amp;N Tree and Debris LLC</t>
  </si>
  <si>
    <t>billynull1@gmail.com</t>
  </si>
  <si>
    <t>(573) 528-7648</t>
  </si>
  <si>
    <t>Dixon, MO</t>
  </si>
  <si>
    <t xml:space="preserve">Bailey and Bailey </t>
  </si>
  <si>
    <t>baileybaileypower@gmail.com</t>
  </si>
  <si>
    <t>(304) 549-8379</t>
  </si>
  <si>
    <t>Chris/Kyle/Brian</t>
  </si>
  <si>
    <t>Hurricane , WV</t>
  </si>
  <si>
    <t>Beachview</t>
  </si>
  <si>
    <t>DAT</t>
  </si>
  <si>
    <t>ronniepage@beachviewenergy.com</t>
  </si>
  <si>
    <t>(432) 312-4726</t>
  </si>
  <si>
    <t>Dallas, TX</t>
  </si>
  <si>
    <t>Bloecher Electric</t>
  </si>
  <si>
    <t>bboecher@bloecherelectric.com</t>
  </si>
  <si>
    <t>(504) 439-8558</t>
  </si>
  <si>
    <t>Brave Services Inc</t>
  </si>
  <si>
    <t>anewbrough@braveservicesinc.com</t>
  </si>
  <si>
    <t>(432) 271-8940</t>
  </si>
  <si>
    <t>Andrews, TX</t>
  </si>
  <si>
    <t>Braves Services/ Bugle Electric</t>
  </si>
  <si>
    <t>Brexan</t>
  </si>
  <si>
    <t>jlowery@brexan.com</t>
  </si>
  <si>
    <t>(903) 262-6412</t>
  </si>
  <si>
    <t>Minolea, TX</t>
  </si>
  <si>
    <t>Bright Star</t>
  </si>
  <si>
    <t>Evan@bright-star.us</t>
  </si>
  <si>
    <t>(409) 658-3798</t>
  </si>
  <si>
    <t>Waco, TX</t>
  </si>
  <si>
    <t>Beaumont, TX</t>
  </si>
  <si>
    <t>Burlin Powerline</t>
  </si>
  <si>
    <t>bkburlinpl@gmail.com</t>
  </si>
  <si>
    <t>(979) 446-3445</t>
  </si>
  <si>
    <t xml:space="preserve">Chris </t>
  </si>
  <si>
    <t xml:space="preserve">Lexington , TX </t>
  </si>
  <si>
    <t>Capital Line Electric</t>
  </si>
  <si>
    <t>Paul.Kurtz@capitalelectric.com</t>
  </si>
  <si>
    <t>(816) 215-6635</t>
  </si>
  <si>
    <t>Flash</t>
  </si>
  <si>
    <t>Fayetteville, AR</t>
  </si>
  <si>
    <t>Riverside, MO</t>
  </si>
  <si>
    <t>St. Louis, MO</t>
  </si>
  <si>
    <t>Copper and cable</t>
  </si>
  <si>
    <t>mike@copperandcable.com</t>
  </si>
  <si>
    <t>(910) 986-9791</t>
  </si>
  <si>
    <t>Aberdeen, MD</t>
  </si>
  <si>
    <t>Boston, Ma</t>
  </si>
  <si>
    <t>Glencoe, KY</t>
  </si>
  <si>
    <t>Corbitt Power</t>
  </si>
  <si>
    <t>shannon@corbittpower.com</t>
  </si>
  <si>
    <t>(256) 572-7203</t>
  </si>
  <si>
    <t xml:space="preserve">Randall/Kyle </t>
  </si>
  <si>
    <t>Selma, AL</t>
  </si>
  <si>
    <t>Corbitt Tree</t>
  </si>
  <si>
    <t>Albertville, AL</t>
  </si>
  <si>
    <t xml:space="preserve">Cornerstone </t>
  </si>
  <si>
    <t>ces.powerline@yahoo.com</t>
  </si>
  <si>
    <t>(580) 239-2901</t>
  </si>
  <si>
    <t>Nathan/Kerney</t>
  </si>
  <si>
    <t>Oklahoma City, OK</t>
  </si>
  <si>
    <t xml:space="preserve">Dark Horse </t>
  </si>
  <si>
    <t>james.db@dheltn.com</t>
  </si>
  <si>
    <t>(615) 389-9295</t>
  </si>
  <si>
    <t>Sunbright , TN</t>
  </si>
  <si>
    <t>Springfield, TN</t>
  </si>
  <si>
    <t>Crossville, TN</t>
  </si>
  <si>
    <t>Dickson Tree Service</t>
  </si>
  <si>
    <t>dicksontreeservice@outlook.com</t>
  </si>
  <si>
    <t>(615) 584-7540</t>
  </si>
  <si>
    <t>Dickson , TN</t>
  </si>
  <si>
    <t>Covington, LA</t>
  </si>
  <si>
    <t>N/A</t>
  </si>
  <si>
    <t>DJ Power</t>
  </si>
  <si>
    <t>djones@djpowerinc.com</t>
  </si>
  <si>
    <t>(281) 253- 1641</t>
  </si>
  <si>
    <t>Brenham,TX</t>
  </si>
  <si>
    <t>Dynamic Utility Solutions</t>
  </si>
  <si>
    <t>jbower@dynamic2016.com</t>
  </si>
  <si>
    <t>312-351-0409</t>
  </si>
  <si>
    <t>Electricom</t>
  </si>
  <si>
    <t>jhilgenhold@ElectricomInc.com</t>
  </si>
  <si>
    <t>(812) 719-2425</t>
  </si>
  <si>
    <t xml:space="preserve">Kyle </t>
  </si>
  <si>
    <t>Indianaplolis, IN</t>
  </si>
  <si>
    <t>Excursion Line Construction</t>
  </si>
  <si>
    <t>greg@excursionlineconstruction.com</t>
  </si>
  <si>
    <t>(606) 224-9550</t>
  </si>
  <si>
    <t>Randall/Trevor</t>
  </si>
  <si>
    <t>London, KY</t>
  </si>
  <si>
    <t>Exoduse Energy</t>
  </si>
  <si>
    <t>dakota@exodusenergyok.com</t>
  </si>
  <si>
    <t>(405) 229-4828</t>
  </si>
  <si>
    <t>Shawnee, OK</t>
  </si>
  <si>
    <t>Ferriera West</t>
  </si>
  <si>
    <t>rduckworth@ferreirastormgroup.com</t>
  </si>
  <si>
    <t>(903) 821-6680</t>
  </si>
  <si>
    <t xml:space="preserve">Randall/Kyle/Chris </t>
  </si>
  <si>
    <t>Branchburg, NJ</t>
  </si>
  <si>
    <t>Ferriera South</t>
  </si>
  <si>
    <t>Ft Worth, TX</t>
  </si>
  <si>
    <t>Ferro Electric LLC</t>
  </si>
  <si>
    <t>apowell@ferroelectric.org</t>
  </si>
  <si>
    <t>(573) 217-9266</t>
  </si>
  <si>
    <t>Fort Wayne, IN</t>
  </si>
  <si>
    <t>Flory Line Construction</t>
  </si>
  <si>
    <t>justin.flory@floryline.com</t>
  </si>
  <si>
    <t>(989)277-1188</t>
  </si>
  <si>
    <t>Kerney</t>
  </si>
  <si>
    <t>KY</t>
  </si>
  <si>
    <t>(989)666-1766</t>
  </si>
  <si>
    <t>Onsted MI</t>
  </si>
  <si>
    <t>(989)277-8133</t>
  </si>
  <si>
    <t>Lennon, MI</t>
  </si>
  <si>
    <t>NJ</t>
  </si>
  <si>
    <t>CT</t>
  </si>
  <si>
    <t>Force</t>
  </si>
  <si>
    <t>cmahan@forceelect.com</t>
  </si>
  <si>
    <t>(918) 576-8581</t>
  </si>
  <si>
    <t>FTT Power</t>
  </si>
  <si>
    <t>ktucker@fttpowerconsultingllc.com</t>
  </si>
  <si>
    <t>(806) 570-9478</t>
  </si>
  <si>
    <t>Hiddenite, NC</t>
  </si>
  <si>
    <t>Florence, AL</t>
  </si>
  <si>
    <t>Charlotte, NC</t>
  </si>
  <si>
    <t>Alanta, GA</t>
  </si>
  <si>
    <t>Topeaka, KS</t>
  </si>
  <si>
    <t>Fusion Power</t>
  </si>
  <si>
    <t>dlawson@fusionpower-ind.com</t>
  </si>
  <si>
    <t>(405) 471-4009</t>
  </si>
  <si>
    <t>Guthrie, OK</t>
  </si>
  <si>
    <t>GMB</t>
  </si>
  <si>
    <t>madkins@gmbpowerlineservices.net</t>
  </si>
  <si>
    <t>(681) 356-3491</t>
  </si>
  <si>
    <t>Charleston, WV</t>
  </si>
  <si>
    <t>GPC</t>
  </si>
  <si>
    <t>jgarrett@gpccorp.net</t>
  </si>
  <si>
    <t>(636) 358-6391</t>
  </si>
  <si>
    <t>Union City, MO</t>
  </si>
  <si>
    <t>Hartford, CT</t>
  </si>
  <si>
    <t xml:space="preserve">Green Country </t>
  </si>
  <si>
    <t>jerrellsmith30@yahoo.com</t>
  </si>
  <si>
    <t>(918) 650-2986</t>
  </si>
  <si>
    <t>Randall/Josh</t>
  </si>
  <si>
    <t>Hennyetta , OK</t>
  </si>
  <si>
    <t>Grid Power</t>
  </si>
  <si>
    <t>Chris.gridpower@gmail.com</t>
  </si>
  <si>
    <t>(423) 972-2887</t>
  </si>
  <si>
    <t>Chris/Flash</t>
  </si>
  <si>
    <t>Schenevus, NY</t>
  </si>
  <si>
    <t>Jonesborough, TN</t>
  </si>
  <si>
    <t>Battle Creek , MI</t>
  </si>
  <si>
    <t>Hawkline Contruction</t>
  </si>
  <si>
    <t xml:space="preserve"> kscott@hawklineco.com</t>
  </si>
  <si>
    <t>(417) 850-1454</t>
  </si>
  <si>
    <t>Neosho, MO</t>
  </si>
  <si>
    <t>Hobbs Electric LLC</t>
  </si>
  <si>
    <t>Office.hobbselectric@gmail.com</t>
  </si>
  <si>
    <t>(910) 777-1063</t>
  </si>
  <si>
    <t>Fayetteville, NC</t>
  </si>
  <si>
    <t>I80</t>
  </si>
  <si>
    <t>joe.swewart@i-80power.com</t>
  </si>
  <si>
    <t>(515) 971-6926</t>
  </si>
  <si>
    <t>Nathan</t>
  </si>
  <si>
    <t>Wilkes Barre, PA</t>
  </si>
  <si>
    <t>Nashville, TN</t>
  </si>
  <si>
    <t>Madrid, IA</t>
  </si>
  <si>
    <t>Mountaintop, PA</t>
  </si>
  <si>
    <t>J&amp;J Tree</t>
  </si>
  <si>
    <t>kristy@jandjtree.com</t>
  </si>
  <si>
    <t>(517) 262-9860</t>
  </si>
  <si>
    <t>Ann Arbor, MI</t>
  </si>
  <si>
    <t>J&amp;L storm services</t>
  </si>
  <si>
    <t>Lance@jlutility.com</t>
  </si>
  <si>
    <t>(214) 208-0033</t>
  </si>
  <si>
    <t>Edgewood, TX</t>
  </si>
  <si>
    <t>Kearny</t>
  </si>
  <si>
    <t>Harriburg, PA</t>
  </si>
  <si>
    <t>Syracuse, NY</t>
  </si>
  <si>
    <t>Wills Point, TX</t>
  </si>
  <si>
    <t>JAB</t>
  </si>
  <si>
    <t>dscroggins@jabservicesinc.com</t>
  </si>
  <si>
    <t>806-201-2326</t>
  </si>
  <si>
    <t>Odessa, TX</t>
  </si>
  <si>
    <t>JJM Power LLC</t>
  </si>
  <si>
    <t>joedavis@jjmpower.net</t>
  </si>
  <si>
    <t>(231) 629-7209</t>
  </si>
  <si>
    <t>Columbus, GA</t>
  </si>
  <si>
    <t>K2W Utilities</t>
  </si>
  <si>
    <t>matt@k2wutilities.com</t>
  </si>
  <si>
    <t>330-469-4122</t>
  </si>
  <si>
    <t>Cleveland, OH</t>
  </si>
  <si>
    <t>kateri powerline</t>
  </si>
  <si>
    <t>mikecrim@att.net</t>
  </si>
  <si>
    <t>(251) 421-0033</t>
  </si>
  <si>
    <t>Kateri powerline</t>
  </si>
  <si>
    <t xml:space="preserve">jonman@kateripowerline.com </t>
  </si>
  <si>
    <t>(406) 260-1383</t>
  </si>
  <si>
    <t>Josh/Randall</t>
  </si>
  <si>
    <t>Muscle Shoals, AL</t>
  </si>
  <si>
    <t xml:space="preserve">Kess Line </t>
  </si>
  <si>
    <t>kvance@kessline.net</t>
  </si>
  <si>
    <t>(606) 359-1348</t>
  </si>
  <si>
    <t>Chris/Nathan/Kyle</t>
  </si>
  <si>
    <t>West Liberty , KY</t>
  </si>
  <si>
    <t>Killen Electrical Services</t>
  </si>
  <si>
    <t>christy@killencontractors.com</t>
  </si>
  <si>
    <t>(662) 571-8958</t>
  </si>
  <si>
    <t>Brandon, MS</t>
  </si>
  <si>
    <t>Liberty Electric Line Builders</t>
  </si>
  <si>
    <t>josh.andrews@libertyelectriclb.com</t>
  </si>
  <si>
    <t>(417) 456-9696</t>
  </si>
  <si>
    <t>Josh/Flash</t>
  </si>
  <si>
    <t>Grove , OK</t>
  </si>
  <si>
    <t xml:space="preserve">Line Craft </t>
  </si>
  <si>
    <t>bg@linecraft.org</t>
  </si>
  <si>
    <t>(606) 658-1117</t>
  </si>
  <si>
    <t xml:space="preserve">Nathan </t>
  </si>
  <si>
    <t>Cincinnati, OH</t>
  </si>
  <si>
    <t>Linewerx Inc</t>
  </si>
  <si>
    <t>brandon.boyce@linewerxinc.com</t>
  </si>
  <si>
    <t>(540) 718-8947</t>
  </si>
  <si>
    <t>Locke's Electrical</t>
  </si>
  <si>
    <t>terry@lockeselectrical.ca</t>
  </si>
  <si>
    <t>(506) 866-4077</t>
  </si>
  <si>
    <t>Zane</t>
  </si>
  <si>
    <t>Moncton, NB, Canada</t>
  </si>
  <si>
    <t>Looks Great Tree</t>
  </si>
  <si>
    <t xml:space="preserve">kristian@looksgreatservices.com </t>
  </si>
  <si>
    <t>(516) 369-8445</t>
  </si>
  <si>
    <t>Columbia, MS</t>
  </si>
  <si>
    <t>Chareleston, SC</t>
  </si>
  <si>
    <t>Newport, TN</t>
  </si>
  <si>
    <t>Little Rock, AR</t>
  </si>
  <si>
    <t>LVM Power</t>
  </si>
  <si>
    <t>jodelle.homminga@lvmpower.com</t>
  </si>
  <si>
    <t>Henderson, TN</t>
  </si>
  <si>
    <t>Maple City</t>
  </si>
  <si>
    <t>jesse@maplecityelectric.com</t>
  </si>
  <si>
    <t>MBI Tree</t>
  </si>
  <si>
    <t>Paez@mbitreeservice.com</t>
  </si>
  <si>
    <t>(513)496-4420</t>
  </si>
  <si>
    <t>Mcnutt Enterprises LLC</t>
  </si>
  <si>
    <t>info@mcnuttenterprisesllc.com</t>
  </si>
  <si>
    <t>(205) 544-5838</t>
  </si>
  <si>
    <t>Carbon Hill, AL</t>
  </si>
  <si>
    <t xml:space="preserve">Midwest Powerline </t>
  </si>
  <si>
    <t>Chetmonaweck15@gmail.com</t>
  </si>
  <si>
    <t>(269) 275-3188</t>
  </si>
  <si>
    <t>Louisville, KY</t>
  </si>
  <si>
    <t>Pittsburgh, PA</t>
  </si>
  <si>
    <t>Rochester, NY</t>
  </si>
  <si>
    <t xml:space="preserve">Morris Tree Services </t>
  </si>
  <si>
    <t>brandi_grffth@yahoo.com</t>
  </si>
  <si>
    <t>(325) 998-3864</t>
  </si>
  <si>
    <t xml:space="preserve">Rising Star , TX </t>
  </si>
  <si>
    <t>NXS Powerline</t>
  </si>
  <si>
    <t>Grasberry@nxspowerline.net</t>
  </si>
  <si>
    <t>(601) 770-2443</t>
  </si>
  <si>
    <t>Lucedale, MS</t>
  </si>
  <si>
    <t>Over and Under</t>
  </si>
  <si>
    <t>over.underllc@yahoo.com</t>
  </si>
  <si>
    <t>(979) 777-1534</t>
  </si>
  <si>
    <t>Brenham, TX</t>
  </si>
  <si>
    <t xml:space="preserve">Ox Tree Services  </t>
  </si>
  <si>
    <t>andrew@tra-volt.com</t>
  </si>
  <si>
    <t>(407) 937-8159</t>
  </si>
  <si>
    <t>Birmingham , AL</t>
  </si>
  <si>
    <t>Patriot Power</t>
  </si>
  <si>
    <t>jsheets@patriotpwr.com</t>
  </si>
  <si>
    <t>(828) 263-7565</t>
  </si>
  <si>
    <t xml:space="preserve">Trevor/Randall/Chris </t>
  </si>
  <si>
    <t>Peaches Power</t>
  </si>
  <si>
    <t>Jpeachy@peachespower.com</t>
  </si>
  <si>
    <t>(920) 517-8397</t>
  </si>
  <si>
    <t>Harrison, OH</t>
  </si>
  <si>
    <t>Waupaca, WI</t>
  </si>
  <si>
    <t>Richmond, VA</t>
  </si>
  <si>
    <t xml:space="preserve">Phased Utilities </t>
  </si>
  <si>
    <t>kward@phasedutilities.com</t>
  </si>
  <si>
    <t>(828) 446-9236</t>
  </si>
  <si>
    <t>Platinum Land &amp; Dirt Services</t>
  </si>
  <si>
    <t>hjasso@platinumser.com</t>
  </si>
  <si>
    <t>(281) 802-4767</t>
  </si>
  <si>
    <t>Houston, TX</t>
  </si>
  <si>
    <t xml:space="preserve">Power Pros </t>
  </si>
  <si>
    <t>Jayedolan@powerpros1.net</t>
  </si>
  <si>
    <t>(256) 710-0341</t>
  </si>
  <si>
    <t xml:space="preserve">Indiana </t>
  </si>
  <si>
    <t>Power Source 1</t>
  </si>
  <si>
    <t>mikenoe55@yahoo.com</t>
  </si>
  <si>
    <t>(606) 273-7950</t>
  </si>
  <si>
    <t>Corbin, KY</t>
  </si>
  <si>
    <t xml:space="preserve">Power Standard </t>
  </si>
  <si>
    <t>matt.racette@kvpenergy.com</t>
  </si>
  <si>
    <t>(432) 701-8906</t>
  </si>
  <si>
    <t>Rhome, TX</t>
  </si>
  <si>
    <t>Austin, TX</t>
  </si>
  <si>
    <t>Powerline Construction Services</t>
  </si>
  <si>
    <t>Tim.greenwood@powerlineconstructionservice.com</t>
  </si>
  <si>
    <t>(931)675-3344</t>
  </si>
  <si>
    <t>Powerline CX</t>
  </si>
  <si>
    <t>Praxel Line Services</t>
  </si>
  <si>
    <t>dylancarpenter@praxellines.com</t>
  </si>
  <si>
    <t>(606) 401-3522</t>
  </si>
  <si>
    <t>Trevor/Randall</t>
  </si>
  <si>
    <t>Birmingham, AL</t>
  </si>
  <si>
    <t>Springfield, IL</t>
  </si>
  <si>
    <t>Indianapolis, IN</t>
  </si>
  <si>
    <t>Chicago, IL</t>
  </si>
  <si>
    <t>Premier Power</t>
  </si>
  <si>
    <t>Slade@premierpowercompany.com</t>
  </si>
  <si>
    <t>(256) 294-3053</t>
  </si>
  <si>
    <t>Cullman, AL</t>
  </si>
  <si>
    <t>Premier Voltage</t>
  </si>
  <si>
    <t>miranda@premiervoltagepower.com</t>
  </si>
  <si>
    <t>(231) 445-1305</t>
  </si>
  <si>
    <t>Maybee, MI</t>
  </si>
  <si>
    <t>PRH</t>
  </si>
  <si>
    <t>ch@prhgrp.com</t>
  </si>
  <si>
    <t>(989) 284-3335</t>
  </si>
  <si>
    <t>Saginaw, MI</t>
  </si>
  <si>
    <t>Priority Electric</t>
  </si>
  <si>
    <t>priorityelectric@ymail.com</t>
  </si>
  <si>
    <t>(256) 303-3674</t>
  </si>
  <si>
    <t>Decatur, AL</t>
  </si>
  <si>
    <t>Proline</t>
  </si>
  <si>
    <t>Albany, NY</t>
  </si>
  <si>
    <t>Quality Powerline LLC</t>
  </si>
  <si>
    <t>qualityprichard@gmail.com</t>
  </si>
  <si>
    <t>(405) 664-1218</t>
  </si>
  <si>
    <t>Edinburgh, TX</t>
  </si>
  <si>
    <t>R&amp;R Powerline</t>
  </si>
  <si>
    <t>r.rpowerline@yahoo.com</t>
  </si>
  <si>
    <t>(580) 729-3175</t>
  </si>
  <si>
    <t>Sayre,OK</t>
  </si>
  <si>
    <t xml:space="preserve">R&amp;S Power Services </t>
  </si>
  <si>
    <t>peter.ruggiero@rspowerservice.com</t>
  </si>
  <si>
    <t>(973) 738-9458</t>
  </si>
  <si>
    <t>Pinconning, MI</t>
  </si>
  <si>
    <t xml:space="preserve">Raines Electric Company </t>
  </si>
  <si>
    <t>matonnaraines@rainesec.onmicrosoft.com</t>
  </si>
  <si>
    <t>(405) 761-7033</t>
  </si>
  <si>
    <t>Renegade Group</t>
  </si>
  <si>
    <t>alex.hernandez@renegadegroupllc.com</t>
  </si>
  <si>
    <t>(512) 589-3014</t>
  </si>
  <si>
    <t>Austin , TX</t>
  </si>
  <si>
    <t xml:space="preserve">Scott Pole Line </t>
  </si>
  <si>
    <t>jscott@scottpoleline.com</t>
  </si>
  <si>
    <t>(254) 979-0574</t>
  </si>
  <si>
    <t xml:space="preserve">Stephenville, TX </t>
  </si>
  <si>
    <t>Southeast Energy Solutions</t>
  </si>
  <si>
    <t>Tbraxton@southeastenergyco.com</t>
  </si>
  <si>
    <t>(863) 448-6215</t>
  </si>
  <si>
    <t>SPE</t>
  </si>
  <si>
    <t>steuber@spepowerfd.com</t>
  </si>
  <si>
    <t>(813) 326-1099</t>
  </si>
  <si>
    <t>Jacksonville, FL</t>
  </si>
  <si>
    <t>Grand Rapids, MI</t>
  </si>
  <si>
    <t>Niles, OH</t>
  </si>
  <si>
    <t>T&amp;R</t>
  </si>
  <si>
    <t>toddmilco@gmail.com</t>
  </si>
  <si>
    <t>(620) 391-1936</t>
  </si>
  <si>
    <t>Hooker, OK</t>
  </si>
  <si>
    <t xml:space="preserve">Thomas Contracting </t>
  </si>
  <si>
    <t>charles@thomascontracting.com</t>
  </si>
  <si>
    <t>(423) 506-9116</t>
  </si>
  <si>
    <t>Lenoir City, TN</t>
  </si>
  <si>
    <t>Titan Line</t>
  </si>
  <si>
    <t>740-260-0796</t>
  </si>
  <si>
    <t>Kereney</t>
  </si>
  <si>
    <t xml:space="preserve">Titan Utility </t>
  </si>
  <si>
    <t>Laniboudreaux@titanutility.net</t>
  </si>
  <si>
    <t>(985) 518-2896</t>
  </si>
  <si>
    <t xml:space="preserve">Kerney </t>
  </si>
  <si>
    <t xml:space="preserve">Tickfaw, LA </t>
  </si>
  <si>
    <t xml:space="preserve">Travolt </t>
  </si>
  <si>
    <t xml:space="preserve">eric@tra-volt.com </t>
  </si>
  <si>
    <t>(205) 281-7566</t>
  </si>
  <si>
    <t>Josh/Randall/Kyle</t>
  </si>
  <si>
    <t>Boston, MA</t>
  </si>
  <si>
    <t>Trees Unlimited</t>
  </si>
  <si>
    <t>whicks@treesunlimitedco.com</t>
  </si>
  <si>
    <t>(706) 252 5339</t>
  </si>
  <si>
    <t>Rome, GA</t>
  </si>
  <si>
    <t>Varnell Power</t>
  </si>
  <si>
    <t>varnellpower@outlook.com</t>
  </si>
  <si>
    <t>(580) 729-2171</t>
  </si>
  <si>
    <t>Bolivar, MO</t>
  </si>
  <si>
    <t>Lindsay, OK</t>
  </si>
  <si>
    <t>W 2 Energy</t>
  </si>
  <si>
    <t>brock@w2energyservices.com</t>
  </si>
  <si>
    <t>(256)689-1269</t>
  </si>
  <si>
    <t>Alexandria, AL</t>
  </si>
  <si>
    <t xml:space="preserve">Warrior Electric </t>
  </si>
  <si>
    <t>cmahan@warriorok.com</t>
  </si>
  <si>
    <t>OKCity, OK</t>
  </si>
  <si>
    <t>Yellow creek tree and land management LLC </t>
  </si>
  <si>
    <t>Yellowcreektree@gmail.com</t>
  </si>
  <si>
    <t>(931) 994-1702</t>
  </si>
  <si>
    <t>Dickson, TN</t>
  </si>
  <si>
    <t>Maverick</t>
  </si>
  <si>
    <t>B&amp;N</t>
  </si>
  <si>
    <t>Corbitt</t>
  </si>
  <si>
    <t>Still waiting</t>
  </si>
  <si>
    <t xml:space="preserve">Total: </t>
  </si>
  <si>
    <t>Bird Electric</t>
  </si>
  <si>
    <t>35 FTES</t>
  </si>
  <si>
    <t xml:space="preserve">total: </t>
  </si>
  <si>
    <t>Powerful Restorations</t>
  </si>
  <si>
    <t>Pittsburg, PA</t>
  </si>
  <si>
    <t>Clarksburg, WV</t>
  </si>
  <si>
    <t>Bryan, TX</t>
  </si>
  <si>
    <t>Paoli , IN</t>
  </si>
  <si>
    <t xml:space="preserve">Ferriera South </t>
  </si>
  <si>
    <t>Warrenton, VA</t>
  </si>
  <si>
    <t>Lafayette, LA</t>
  </si>
  <si>
    <t>Woodward, OK</t>
  </si>
  <si>
    <t>El Dorado, AR</t>
  </si>
  <si>
    <t>Eastbay</t>
  </si>
  <si>
    <t>I-80</t>
  </si>
  <si>
    <t>Three Phase</t>
  </si>
  <si>
    <t>DTE Detroit MI</t>
  </si>
  <si>
    <t xml:space="preserve">AEP Texarkana </t>
  </si>
  <si>
    <t>Entergy  Baton Rogue LA</t>
  </si>
  <si>
    <t>AL Power Birmingham AL</t>
  </si>
  <si>
    <t xml:space="preserve">GA Power Atlanta GA </t>
  </si>
  <si>
    <t xml:space="preserve">Color Key </t>
  </si>
  <si>
    <t>1-6 HRS</t>
  </si>
  <si>
    <t>7-12 HRS</t>
  </si>
  <si>
    <t>13-16 HRS</t>
  </si>
  <si>
    <t>16+ HRS</t>
  </si>
  <si>
    <t xml:space="preserve">Need City </t>
  </si>
  <si>
    <t>Dayton, OH</t>
  </si>
  <si>
    <t>Bostom, Ma</t>
  </si>
  <si>
    <t>Breham, TX</t>
  </si>
  <si>
    <t>Confirmed</t>
  </si>
  <si>
    <t>updated counts</t>
  </si>
  <si>
    <t>secured</t>
  </si>
  <si>
    <t>location right now</t>
  </si>
  <si>
    <t>Clarksville</t>
  </si>
  <si>
    <t>x</t>
  </si>
  <si>
    <t>Already picke up</t>
  </si>
  <si>
    <t>YES</t>
  </si>
  <si>
    <t>Mooresville, IN</t>
  </si>
  <si>
    <t>working on getting released</t>
  </si>
  <si>
    <t>Memphis</t>
  </si>
  <si>
    <t>7 hrs</t>
  </si>
  <si>
    <t>Nashville</t>
  </si>
  <si>
    <t>4 hrs</t>
  </si>
  <si>
    <t>Coop wont release</t>
  </si>
  <si>
    <t>17 FTEs</t>
  </si>
  <si>
    <t>right now</t>
  </si>
  <si>
    <t>Warrior Electric</t>
  </si>
  <si>
    <t>Pioli, IN</t>
  </si>
  <si>
    <t>at a coop but might get released.</t>
  </si>
  <si>
    <t>Travel time to Detroit, MI (hrs)</t>
  </si>
  <si>
    <t>Total</t>
  </si>
  <si>
    <t>renegade</t>
  </si>
  <si>
    <t>renegade 12</t>
  </si>
  <si>
    <t>Travel time to Gary, IN</t>
  </si>
  <si>
    <t>Des Moins, IA</t>
  </si>
  <si>
    <t>Released from Utility</t>
  </si>
  <si>
    <t xml:space="preserve">35 released from utility if you need them. </t>
  </si>
  <si>
    <t>14 hrs</t>
  </si>
  <si>
    <t xml:space="preserve">12 of the 35 have been released. </t>
  </si>
  <si>
    <t>10 hrs</t>
  </si>
  <si>
    <t>12 have been released</t>
  </si>
  <si>
    <t>5 hrs</t>
  </si>
  <si>
    <t>8 hrs</t>
  </si>
  <si>
    <t>22 have been released</t>
  </si>
  <si>
    <r>
      <rPr>
        <b/>
        <sz val="12"/>
        <color theme="1"/>
        <rFont val="Calibri"/>
        <family val="2"/>
        <scheme val="minor"/>
      </rPr>
      <t>93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released, with 23 in KC waiting to be released. </t>
    </r>
  </si>
  <si>
    <t>American Made Tree</t>
  </si>
  <si>
    <t>Veg (non-union)</t>
  </si>
  <si>
    <t>Cincinnati OH</t>
  </si>
  <si>
    <t>Dickson Tree</t>
  </si>
  <si>
    <t>9 hrs</t>
  </si>
  <si>
    <t>Travel time to Atlanta, GA (hrs)</t>
  </si>
  <si>
    <t>Florence Alabama</t>
  </si>
  <si>
    <t>Alabama</t>
  </si>
  <si>
    <t>Travel time to Birmingham, AL (hrs)</t>
  </si>
  <si>
    <t>Atoka , OK</t>
  </si>
  <si>
    <t xml:space="preserve">Total </t>
  </si>
  <si>
    <t>Contacted Total</t>
  </si>
  <si>
    <t>Travel time to Baton Rouge, LA (hrs)</t>
  </si>
  <si>
    <t>Travel time to Texarkana, TX (hrs)</t>
  </si>
  <si>
    <t>Sayre, OK</t>
  </si>
  <si>
    <t>Total Contacted</t>
  </si>
  <si>
    <t>To Atlanta, GA (mi / hrs)</t>
  </si>
  <si>
    <t>To Texarkana, TX (mi / hrs)</t>
  </si>
  <si>
    <t>To Baton Rouge, LA (mi / hrs)</t>
  </si>
  <si>
    <t>To Birmingham, AL (mi / hrs)</t>
  </si>
  <si>
    <t>400 / 6.5</t>
  </si>
  <si>
    <t>640 / 10.5</t>
  </si>
  <si>
    <t>720 / 11.5</t>
  </si>
  <si>
    <t>680 / 11</t>
  </si>
  <si>
    <t>1,160 / 19</t>
  </si>
  <si>
    <t>1,130 / 18.5</t>
  </si>
  <si>
    <t>750 / 12.5</t>
  </si>
  <si>
    <t>950 / 15.5</t>
  </si>
  <si>
    <t>1,400 / 23</t>
  </si>
  <si>
    <t>1,400 / 22.5</t>
  </si>
  <si>
    <t>1,000 / 16.5</t>
  </si>
  <si>
    <t>330 / 5.5</t>
  </si>
  <si>
    <t>680 / 11.5</t>
  </si>
  <si>
    <t>650 / 10.5</t>
  </si>
  <si>
    <t>370 / 6</t>
  </si>
  <si>
    <t>Fort Worth, TX</t>
  </si>
  <si>
    <t>820 / 14</t>
  </si>
  <si>
    <t>230 / 3.5</t>
  </si>
  <si>
    <t>450 / 7.5</t>
  </si>
  <si>
    <t>630 / 10.5</t>
  </si>
  <si>
    <t>260 / 4.5</t>
  </si>
  <si>
    <t>460 / 7.5</t>
  </si>
  <si>
    <t>430 / 7</t>
  </si>
  <si>
    <t>110 / 2</t>
  </si>
  <si>
    <t>West Liberty, KY</t>
  </si>
  <si>
    <t>720 / 12</t>
  </si>
  <si>
    <t>700 / 11.5</t>
  </si>
  <si>
    <t>380 / 6.5</t>
  </si>
  <si>
    <t>230 / 4</t>
  </si>
  <si>
    <t>250 / 4</t>
  </si>
  <si>
    <t>470 / 7.5</t>
  </si>
  <si>
    <t>600 / 9.5</t>
  </si>
  <si>
    <t>190 / 3</t>
  </si>
  <si>
    <t>120 / 2</t>
  </si>
  <si>
    <t>550 / 9</t>
  </si>
  <si>
    <t>500 / 8.5</t>
  </si>
  <si>
    <t>150 / 2.5</t>
  </si>
  <si>
    <t>210 / 3.5</t>
  </si>
  <si>
    <t>370 / 6.5</t>
  </si>
  <si>
    <t>60 / 1</t>
  </si>
  <si>
    <t>350 / 6</t>
  </si>
  <si>
    <t>170 / 3</t>
  </si>
  <si>
    <t>600 / 10</t>
  </si>
  <si>
    <t>580 / 9.5</t>
  </si>
  <si>
    <t>0 / 0</t>
  </si>
  <si>
    <t>1,050 / 17.5</t>
  </si>
  <si>
    <t>1,070 / 17.5</t>
  </si>
  <si>
    <t>1,550 / 25.5</t>
  </si>
  <si>
    <t>1,200 / 20</t>
  </si>
  <si>
    <t>Connecticut (CT)</t>
  </si>
  <si>
    <t>900 / 15</t>
  </si>
  <si>
    <t>New Jersey (NJ)</t>
  </si>
  <si>
    <t>800 / 13</t>
  </si>
  <si>
    <t>1,250 / 20.5</t>
  </si>
  <si>
    <t>Kentucky (KY)</t>
  </si>
  <si>
    <t>740 / 12</t>
  </si>
  <si>
    <t>Onsted, MI</t>
  </si>
  <si>
    <t>950 / 16</t>
  </si>
  <si>
    <t>660 / 11</t>
  </si>
  <si>
    <t>200 / 3.5</t>
  </si>
  <si>
    <t>300 / 5</t>
  </si>
  <si>
    <t>Varies</t>
  </si>
  <si>
    <t>960 / 16</t>
  </si>
  <si>
    <t>1,100 / 18</t>
  </si>
  <si>
    <t>540 / 9</t>
  </si>
  <si>
    <t>320 / 5.5</t>
  </si>
  <si>
    <t>360 / 6</t>
  </si>
  <si>
    <t>320 / 5</t>
  </si>
  <si>
    <t>480 / 8</t>
  </si>
  <si>
    <t>90 / 1.5</t>
  </si>
  <si>
    <t>180 / 3</t>
  </si>
  <si>
    <t>560 / 9.5</t>
  </si>
  <si>
    <t>570 / 9.5</t>
  </si>
  <si>
    <t>440 / 7.5</t>
  </si>
  <si>
    <t>590 / 9.5</t>
  </si>
  <si>
    <t>220 / 3.5</t>
  </si>
  <si>
    <t>Sunbright, TN</t>
  </si>
  <si>
    <t>610 / 10</t>
  </si>
  <si>
    <t>250 / 4.5</t>
  </si>
  <si>
    <t>To: DTE , Detroit MI</t>
  </si>
  <si>
    <t>Miles</t>
  </si>
  <si>
    <t xml:space="preserve">Hours </t>
  </si>
  <si>
    <t>London, Ky</t>
  </si>
  <si>
    <t>Windor locks, CT</t>
  </si>
  <si>
    <t xml:space="preserve">Veg </t>
  </si>
  <si>
    <t>To:</t>
  </si>
  <si>
    <t xml:space="preserve">Shawnee, OK </t>
  </si>
  <si>
    <t>Stephenville, TX</t>
  </si>
  <si>
    <t>Laffayetta, LA</t>
  </si>
  <si>
    <t>INDIANA</t>
  </si>
  <si>
    <t>Harrisburg, PA</t>
  </si>
  <si>
    <t>Windsor Locks CT</t>
  </si>
  <si>
    <t>Synergy Line</t>
  </si>
  <si>
    <t>brant@synergylinesolutions.com</t>
  </si>
  <si>
    <t>(859) 200-1587</t>
  </si>
  <si>
    <t>McKee, KY</t>
  </si>
  <si>
    <t>Tier One Utilities</t>
  </si>
  <si>
    <t>(423) 260-9310</t>
  </si>
  <si>
    <t>Tieroneutilities@gmail.com</t>
  </si>
  <si>
    <t>Trenton, GA</t>
  </si>
  <si>
    <t>Sherrills Ford, NC</t>
  </si>
  <si>
    <t>Pflugerville, TX</t>
  </si>
  <si>
    <t xml:space="preserve">Travel time to Yukon, OK </t>
  </si>
  <si>
    <t>Merrietta, OK</t>
  </si>
  <si>
    <t>Middletown, OH</t>
  </si>
  <si>
    <t>Kansas City, KS</t>
  </si>
  <si>
    <t>Virginia</t>
  </si>
  <si>
    <t>Huntsville,TX</t>
  </si>
  <si>
    <t>Elite Utility Servies LLC</t>
  </si>
  <si>
    <t>Barbourville, KY</t>
  </si>
  <si>
    <t xml:space="preserve">Oklahoma  </t>
  </si>
  <si>
    <t xml:space="preserve">Atkins Electric </t>
  </si>
  <si>
    <t>Donaldsonville, LA</t>
  </si>
  <si>
    <t>Mississippi (Traveling)</t>
  </si>
  <si>
    <t>Blackwell,MO</t>
  </si>
  <si>
    <t>bwilkins@powerfulrestorations.com</t>
  </si>
  <si>
    <t>(502)-472-7893</t>
  </si>
  <si>
    <t>Travel Time to Houston, TX (hrs)</t>
  </si>
  <si>
    <t>Padukah,KY</t>
  </si>
  <si>
    <t>Winchester,KY</t>
  </si>
  <si>
    <t>Tyner,KY</t>
  </si>
  <si>
    <t>Cleveland,TN</t>
  </si>
  <si>
    <t>Widsor Lock,CT</t>
  </si>
  <si>
    <t>Hurricane, WV</t>
  </si>
  <si>
    <t>Mount Sterling,KY</t>
  </si>
  <si>
    <t xml:space="preserve">Appalachian Utiltiy </t>
  </si>
  <si>
    <t>jeff.coleman@appalachianutilityservices.com</t>
  </si>
  <si>
    <t>Rush,KY</t>
  </si>
  <si>
    <t>(304) 881-5500</t>
  </si>
  <si>
    <t>Edgar Electric</t>
  </si>
  <si>
    <t>cole.pope@edgarelectricinc.com</t>
  </si>
  <si>
    <t xml:space="preserve">(601) 572-0577 </t>
  </si>
  <si>
    <t>Richland,MS</t>
  </si>
  <si>
    <t>Paragould,AR</t>
  </si>
  <si>
    <t>Lexington , TN</t>
  </si>
  <si>
    <t>Kewanee,IL</t>
  </si>
  <si>
    <t>Travel time to Calhoun,GA (hrs)</t>
  </si>
  <si>
    <t>Kentucky</t>
  </si>
  <si>
    <t>Raton, NM</t>
  </si>
  <si>
    <t>Boilivar, MO</t>
  </si>
  <si>
    <t xml:space="preserve">Thorneville, OH </t>
  </si>
  <si>
    <t>Louisana</t>
  </si>
  <si>
    <t>Arkansas</t>
  </si>
  <si>
    <t>G-Power</t>
  </si>
  <si>
    <t>yes</t>
  </si>
  <si>
    <t>gabriel@gpowerelectric.com</t>
  </si>
  <si>
    <t>(432) 967-6043</t>
  </si>
  <si>
    <t>Steady Flow Tester</t>
  </si>
  <si>
    <t>432-664-5622</t>
  </si>
  <si>
    <t>DFW, TX</t>
  </si>
  <si>
    <t>HS Utility</t>
  </si>
  <si>
    <t>Fredricksburg, IN</t>
  </si>
  <si>
    <t>Platinum</t>
  </si>
  <si>
    <t>East Coast Line</t>
  </si>
  <si>
    <t>Kodak, TN</t>
  </si>
  <si>
    <t>Trenton, TN</t>
  </si>
  <si>
    <t>Bird-In house</t>
  </si>
  <si>
    <t>Hickory, NC</t>
  </si>
  <si>
    <t xml:space="preserve">Delta Electric </t>
  </si>
  <si>
    <t>Vision Utility</t>
  </si>
  <si>
    <t>Travel Time to Columbus, OH</t>
  </si>
  <si>
    <t>Trvael time to Canton, PA</t>
  </si>
  <si>
    <t>Travel Time to Jackson.MS</t>
  </si>
  <si>
    <t>Travel Time to Rye, NY</t>
  </si>
  <si>
    <t>APEX</t>
  </si>
  <si>
    <t>Starfire</t>
  </si>
  <si>
    <t>Pannell Tree</t>
  </si>
  <si>
    <t xml:space="preserve">Austin, TX </t>
  </si>
  <si>
    <t>Cleves, OH</t>
  </si>
  <si>
    <t>tony.slone@apexls.org</t>
  </si>
  <si>
    <t>(419) 295-3396</t>
  </si>
  <si>
    <t>Marietta, OK</t>
  </si>
  <si>
    <t>Travel Time to Detroit, Mi</t>
  </si>
  <si>
    <t>Kewanee, IL</t>
  </si>
  <si>
    <t>Indian River, MI</t>
  </si>
  <si>
    <t>St.Louis, MO</t>
  </si>
  <si>
    <t xml:space="preserve">Good O’l Boys </t>
  </si>
  <si>
    <t>Gobrentals30@gmail.com</t>
  </si>
  <si>
    <t>(740) 978-0065</t>
  </si>
  <si>
    <t>Wellston, OH</t>
  </si>
  <si>
    <t>Manchester, Maine</t>
  </si>
  <si>
    <t>7-10 HRS</t>
  </si>
  <si>
    <t>10+</t>
  </si>
  <si>
    <t xml:space="preserve"> Time Travel color Key for Detroit </t>
  </si>
  <si>
    <t>Jackson &amp; Jackson</t>
  </si>
  <si>
    <t>Jackson.Jackson.LLC@gmail.com</t>
  </si>
  <si>
    <t>Evart, MI</t>
  </si>
  <si>
    <t>Port Huron, MI</t>
  </si>
  <si>
    <t>Line Electric</t>
  </si>
  <si>
    <t>greg.lineelectric@gmail.com</t>
  </si>
  <si>
    <t>(269) 209-9793</t>
  </si>
  <si>
    <t>Marshall, MI</t>
  </si>
  <si>
    <t>Jackson, OH</t>
  </si>
  <si>
    <t xml:space="preserve">Total FTEs within 6 hours </t>
  </si>
  <si>
    <t xml:space="preserve">Total FTEs available </t>
  </si>
  <si>
    <t xml:space="preserve">Total FTEs more than 6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</si>
</sst>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1" fontId="0" fillId="0" borderId="0" xfId="0" applyNumberFormat="1"/>
    <xf numFmtId="0" fontId="18" fillId="0" borderId="0" xfId="0" applyFont="1"/>
    <xf numFmtId="0" fontId="0" fillId="33" borderId="0" xfId="0" applyFill="1"/>
    <xf numFmtId="1" fontId="0" fillId="33" borderId="0" xfId="0" applyNumberForma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7" borderId="0" xfId="0" applyFont="1" applyFill="1"/>
    <xf numFmtId="0" fontId="0" fillId="0" borderId="0" xfId="0" applyAlignment="1">
      <alignment horizontal="left"/>
    </xf>
    <xf numFmtId="0" fontId="16" fillId="0" borderId="12" xfId="0" applyFont="1" applyBorder="1" applyAlignment="1">
      <alignment horizontal="center" vertical="top"/>
    </xf>
    <xf numFmtId="1" fontId="0" fillId="34" borderId="0" xfId="0" applyNumberFormat="1" applyFill="1"/>
    <xf numFmtId="0" fontId="0" fillId="38" borderId="0" xfId="0" applyFill="1"/>
    <xf numFmtId="0" fontId="16" fillId="0" borderId="10" xfId="0" applyFont="1" applyBorder="1"/>
    <xf numFmtId="0" fontId="16" fillId="0" borderId="11" xfId="0" applyFont="1" applyBorder="1"/>
    <xf numFmtId="0" fontId="0" fillId="39" borderId="0" xfId="0" applyFill="1"/>
    <xf numFmtId="0" fontId="18" fillId="39" borderId="0" xfId="0" applyFont="1" applyFill="1"/>
    <xf numFmtId="0" fontId="19" fillId="0" borderId="0" xfId="42" applyAlignment="1">
      <alignment horizontal="left"/>
    </xf>
    <xf numFmtId="0" fontId="0" fillId="39" borderId="0" xfId="0" applyFill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wrapText="1"/>
    </xf>
    <xf numFmtId="0" fontId="18" fillId="36" borderId="0" xfId="0" applyFont="1" applyFill="1"/>
    <xf numFmtId="0" fontId="0" fillId="36" borderId="12" xfId="0" applyFill="1" applyBorder="1"/>
    <xf numFmtId="0" fontId="0" fillId="39" borderId="12" xfId="0" applyFill="1" applyBorder="1"/>
    <xf numFmtId="0" fontId="0" fillId="39" borderId="12" xfId="0" applyFill="1" applyBorder="1" applyAlignment="1">
      <alignment horizontal="left"/>
    </xf>
    <xf numFmtId="0" fontId="0" fillId="0" borderId="14" xfId="0" applyBorder="1"/>
    <xf numFmtId="0" fontId="0" fillId="33" borderId="12" xfId="0" applyFill="1" applyBorder="1"/>
    <xf numFmtId="0" fontId="0" fillId="0" borderId="14" xfId="0" applyBorder="1" applyAlignment="1">
      <alignment wrapText="1"/>
    </xf>
    <xf numFmtId="0" fontId="0" fillId="39" borderId="15" xfId="0" applyFill="1" applyBorder="1"/>
    <xf numFmtId="0" fontId="0" fillId="0" borderId="15" xfId="0" applyBorder="1"/>
    <xf numFmtId="0" fontId="0" fillId="39" borderId="15" xfId="0" applyFill="1" applyBorder="1" applyAlignment="1">
      <alignment horizontal="left"/>
    </xf>
    <xf numFmtId="0" fontId="0" fillId="40" borderId="0" xfId="0" applyFill="1"/>
    <xf numFmtId="1" fontId="0" fillId="40" borderId="0" xfId="0" applyNumberFormat="1" applyFill="1"/>
    <xf numFmtId="0" fontId="0" fillId="39" borderId="13" xfId="0" applyFill="1" applyBorder="1"/>
    <xf numFmtId="0" fontId="0" fillId="35" borderId="12" xfId="0" applyFill="1" applyBorder="1"/>
    <xf numFmtId="14" fontId="0" fillId="0" borderId="0" xfId="0" applyNumberFormat="1"/>
    <xf numFmtId="0" fontId="0" fillId="35" borderId="0" xfId="0" applyFill="1" applyAlignment="1">
      <alignment horizontal="left"/>
    </xf>
    <xf numFmtId="0" fontId="18" fillId="35" borderId="0" xfId="0" applyFont="1" applyFill="1"/>
    <xf numFmtId="0" fontId="0" fillId="36" borderId="0" xfId="0" applyFill="1" applyAlignment="1">
      <alignment horizontal="left"/>
    </xf>
    <xf numFmtId="0" fontId="0" fillId="41" borderId="0" xfId="0" applyFill="1"/>
    <xf numFmtId="0" fontId="18" fillId="41" borderId="0" xfId="0" applyFont="1" applyFill="1"/>
    <xf numFmtId="0" fontId="19" fillId="0" borderId="0" xfId="42"/>
    <xf numFmtId="0" fontId="19" fillId="36" borderId="0" xfId="42" applyFill="1" applyAlignment="1">
      <alignment horizontal="left"/>
    </xf>
    <xf numFmtId="1" fontId="0" fillId="36" borderId="0" xfId="0" applyNumberFormat="1" applyFill="1"/>
    <xf numFmtId="0" fontId="0" fillId="41" borderId="12" xfId="0" applyFill="1" applyBorder="1"/>
    <xf numFmtId="0" fontId="0" fillId="0" borderId="12" xfId="0" applyBorder="1" applyAlignment="1">
      <alignment horizontal="right" indent="1"/>
    </xf>
    <xf numFmtId="0" fontId="0" fillId="41" borderId="0" xfId="0" applyFill="1" applyAlignment="1">
      <alignment horizontal="left"/>
    </xf>
    <xf numFmtId="0" fontId="19" fillId="0" borderId="0" xfId="42" applyFill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Fill="1"/>
    <xf numFmtId="0" fontId="18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70AD47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@w2energyservices.com" TargetMode="External"/><Relationship Id="rId13" Type="http://schemas.openxmlformats.org/officeDocument/2006/relationships/hyperlink" Target="mailto:shannon@3phase-power.net" TargetMode="External"/><Relationship Id="rId18" Type="http://schemas.openxmlformats.org/officeDocument/2006/relationships/hyperlink" Target="mailto:amanda.smith@arborworksinc.com" TargetMode="External"/><Relationship Id="rId3" Type="http://schemas.openxmlformats.org/officeDocument/2006/relationships/hyperlink" Target="mailto:matt.racette@kvpenergy.com" TargetMode="External"/><Relationship Id="rId21" Type="http://schemas.openxmlformats.org/officeDocument/2006/relationships/hyperlink" Target="mailto:shannon@3phase-power.net" TargetMode="External"/><Relationship Id="rId7" Type="http://schemas.openxmlformats.org/officeDocument/2006/relationships/hyperlink" Target="mailto:matonnaraines@rainesec.onmicrosoft.com" TargetMode="External"/><Relationship Id="rId12" Type="http://schemas.openxmlformats.org/officeDocument/2006/relationships/hyperlink" Target="mailto:matt@k2wutilities.com" TargetMode="External"/><Relationship Id="rId17" Type="http://schemas.openxmlformats.org/officeDocument/2006/relationships/hyperlink" Target="mailto:toddmilco@gmail.com" TargetMode="External"/><Relationship Id="rId2" Type="http://schemas.openxmlformats.org/officeDocument/2006/relationships/hyperlink" Target="mailto:peter.ruggiero@rspowerservice.com" TargetMode="External"/><Relationship Id="rId16" Type="http://schemas.openxmlformats.org/officeDocument/2006/relationships/hyperlink" Target="mailto:Slade@premierpowercompany.com" TargetMode="External"/><Relationship Id="rId20" Type="http://schemas.openxmlformats.org/officeDocument/2006/relationships/hyperlink" Target="mailto:brant@synergylinesolutions.com" TargetMode="External"/><Relationship Id="rId1" Type="http://schemas.openxmlformats.org/officeDocument/2006/relationships/hyperlink" Target="mailto:avo.electricllc@gmail.com" TargetMode="External"/><Relationship Id="rId6" Type="http://schemas.openxmlformats.org/officeDocument/2006/relationships/hyperlink" Target="mailto:matt.racette@kvpenergy.com" TargetMode="External"/><Relationship Id="rId11" Type="http://schemas.openxmlformats.org/officeDocument/2006/relationships/hyperlink" Target="mailto:jbower@dynamic2016.com" TargetMode="External"/><Relationship Id="rId5" Type="http://schemas.openxmlformats.org/officeDocument/2006/relationships/hyperlink" Target="mailto:bboecher@bloecherelectric.com" TargetMode="External"/><Relationship Id="rId15" Type="http://schemas.openxmlformats.org/officeDocument/2006/relationships/hyperlink" Target="mailto:readelectric@aol.com" TargetMode="External"/><Relationship Id="rId23" Type="http://schemas.openxmlformats.org/officeDocument/2006/relationships/hyperlink" Target="mailto:tony.slone@apexls.org" TargetMode="External"/><Relationship Id="rId10" Type="http://schemas.openxmlformats.org/officeDocument/2006/relationships/hyperlink" Target="mailto:jesse@maplecityelectric.com" TargetMode="External"/><Relationship Id="rId19" Type="http://schemas.openxmlformats.org/officeDocument/2006/relationships/hyperlink" Target="mailto:christy@killencontractors.com" TargetMode="External"/><Relationship Id="rId4" Type="http://schemas.openxmlformats.org/officeDocument/2006/relationships/hyperlink" Target="mailto:matt.racette@kvpenergy.com" TargetMode="External"/><Relationship Id="rId9" Type="http://schemas.openxmlformats.org/officeDocument/2006/relationships/hyperlink" Target="mailto:jodelle.homminga@lvmpower.com" TargetMode="External"/><Relationship Id="rId14" Type="http://schemas.openxmlformats.org/officeDocument/2006/relationships/hyperlink" Target="mailto:terry@lockeselectrical.ca" TargetMode="External"/><Relationship Id="rId22" Type="http://schemas.openxmlformats.org/officeDocument/2006/relationships/hyperlink" Target="mailto:gabriel@gpowerelectric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@w2energyservices.com" TargetMode="External"/><Relationship Id="rId13" Type="http://schemas.openxmlformats.org/officeDocument/2006/relationships/hyperlink" Target="mailto:shannon@3phase-power.net" TargetMode="External"/><Relationship Id="rId18" Type="http://schemas.openxmlformats.org/officeDocument/2006/relationships/hyperlink" Target="mailto:amanda.smith@arborworksinc.com" TargetMode="External"/><Relationship Id="rId3" Type="http://schemas.openxmlformats.org/officeDocument/2006/relationships/hyperlink" Target="mailto:matt.racette@kvpenergy.com" TargetMode="External"/><Relationship Id="rId21" Type="http://schemas.openxmlformats.org/officeDocument/2006/relationships/hyperlink" Target="mailto:shannon@3phase-power.net" TargetMode="External"/><Relationship Id="rId7" Type="http://schemas.openxmlformats.org/officeDocument/2006/relationships/hyperlink" Target="mailto:matonnaraines@rainesec.onmicrosoft.com" TargetMode="External"/><Relationship Id="rId12" Type="http://schemas.openxmlformats.org/officeDocument/2006/relationships/hyperlink" Target="mailto:matt@k2wutilities.com" TargetMode="External"/><Relationship Id="rId17" Type="http://schemas.openxmlformats.org/officeDocument/2006/relationships/hyperlink" Target="mailto:toddmilco@gmail.com" TargetMode="External"/><Relationship Id="rId2" Type="http://schemas.openxmlformats.org/officeDocument/2006/relationships/hyperlink" Target="mailto:peter.ruggiero@rspowerservice.com" TargetMode="External"/><Relationship Id="rId16" Type="http://schemas.openxmlformats.org/officeDocument/2006/relationships/hyperlink" Target="mailto:Slade@premierpowercompany.com" TargetMode="External"/><Relationship Id="rId20" Type="http://schemas.openxmlformats.org/officeDocument/2006/relationships/hyperlink" Target="mailto:brant@synergylinesolutions.com" TargetMode="External"/><Relationship Id="rId1" Type="http://schemas.openxmlformats.org/officeDocument/2006/relationships/hyperlink" Target="mailto:avo.electricllc@gmail.com" TargetMode="External"/><Relationship Id="rId6" Type="http://schemas.openxmlformats.org/officeDocument/2006/relationships/hyperlink" Target="mailto:matt.racette@kvpenergy.com" TargetMode="External"/><Relationship Id="rId11" Type="http://schemas.openxmlformats.org/officeDocument/2006/relationships/hyperlink" Target="mailto:jbower@dynamic2016.com" TargetMode="External"/><Relationship Id="rId5" Type="http://schemas.openxmlformats.org/officeDocument/2006/relationships/hyperlink" Target="mailto:bboecher@bloecherelectric.com" TargetMode="External"/><Relationship Id="rId15" Type="http://schemas.openxmlformats.org/officeDocument/2006/relationships/hyperlink" Target="mailto:readelectric@aol.com" TargetMode="External"/><Relationship Id="rId10" Type="http://schemas.openxmlformats.org/officeDocument/2006/relationships/hyperlink" Target="mailto:jesse@maplecityelectric.com" TargetMode="External"/><Relationship Id="rId19" Type="http://schemas.openxmlformats.org/officeDocument/2006/relationships/hyperlink" Target="mailto:christy@killencontractors.com" TargetMode="External"/><Relationship Id="rId4" Type="http://schemas.openxmlformats.org/officeDocument/2006/relationships/hyperlink" Target="mailto:matt.racette@kvpenergy.com" TargetMode="External"/><Relationship Id="rId9" Type="http://schemas.openxmlformats.org/officeDocument/2006/relationships/hyperlink" Target="mailto:jodelle.homminga@lvmpower.com" TargetMode="External"/><Relationship Id="rId14" Type="http://schemas.openxmlformats.org/officeDocument/2006/relationships/hyperlink" Target="mailto:terry@lockeselectrical.c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@w2energyservices.com" TargetMode="External"/><Relationship Id="rId13" Type="http://schemas.openxmlformats.org/officeDocument/2006/relationships/hyperlink" Target="mailto:shannon@3phase-power.net" TargetMode="External"/><Relationship Id="rId18" Type="http://schemas.openxmlformats.org/officeDocument/2006/relationships/hyperlink" Target="mailto:amanda.smith@arborworksinc.com" TargetMode="External"/><Relationship Id="rId3" Type="http://schemas.openxmlformats.org/officeDocument/2006/relationships/hyperlink" Target="mailto:matt.racette@kvpenergy.com" TargetMode="External"/><Relationship Id="rId7" Type="http://schemas.openxmlformats.org/officeDocument/2006/relationships/hyperlink" Target="mailto:matonnaraines@rainesec.onmicrosoft.com" TargetMode="External"/><Relationship Id="rId12" Type="http://schemas.openxmlformats.org/officeDocument/2006/relationships/hyperlink" Target="mailto:matt@k2wutilities.com" TargetMode="External"/><Relationship Id="rId17" Type="http://schemas.openxmlformats.org/officeDocument/2006/relationships/hyperlink" Target="mailto:toddmilco@gmail.com" TargetMode="External"/><Relationship Id="rId2" Type="http://schemas.openxmlformats.org/officeDocument/2006/relationships/hyperlink" Target="mailto:peter.ruggiero@rspowerservice.com" TargetMode="External"/><Relationship Id="rId16" Type="http://schemas.openxmlformats.org/officeDocument/2006/relationships/hyperlink" Target="mailto:Slade@premierpowercompany.com" TargetMode="External"/><Relationship Id="rId20" Type="http://schemas.openxmlformats.org/officeDocument/2006/relationships/hyperlink" Target="mailto:brant@synergylinesolutions.com" TargetMode="External"/><Relationship Id="rId1" Type="http://schemas.openxmlformats.org/officeDocument/2006/relationships/hyperlink" Target="mailto:avo.electricllc@gmail.com" TargetMode="External"/><Relationship Id="rId6" Type="http://schemas.openxmlformats.org/officeDocument/2006/relationships/hyperlink" Target="mailto:matt.racette@kvpenergy.com" TargetMode="External"/><Relationship Id="rId11" Type="http://schemas.openxmlformats.org/officeDocument/2006/relationships/hyperlink" Target="mailto:jbower@dynamic2016.com" TargetMode="External"/><Relationship Id="rId5" Type="http://schemas.openxmlformats.org/officeDocument/2006/relationships/hyperlink" Target="mailto:bboecher@bloecherelectric.com" TargetMode="External"/><Relationship Id="rId15" Type="http://schemas.openxmlformats.org/officeDocument/2006/relationships/hyperlink" Target="mailto:readelectric@aol.com" TargetMode="External"/><Relationship Id="rId10" Type="http://schemas.openxmlformats.org/officeDocument/2006/relationships/hyperlink" Target="mailto:jesse@maplecityelectric.com" TargetMode="External"/><Relationship Id="rId19" Type="http://schemas.openxmlformats.org/officeDocument/2006/relationships/hyperlink" Target="mailto:christy@killencontractors.com" TargetMode="External"/><Relationship Id="rId4" Type="http://schemas.openxmlformats.org/officeDocument/2006/relationships/hyperlink" Target="mailto:matt.racette@kvpenergy.com" TargetMode="External"/><Relationship Id="rId9" Type="http://schemas.openxmlformats.org/officeDocument/2006/relationships/hyperlink" Target="mailto:jodelle.homminga@lvmpower.com" TargetMode="External"/><Relationship Id="rId14" Type="http://schemas.openxmlformats.org/officeDocument/2006/relationships/hyperlink" Target="mailto:terry@lockeselectrical.c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@w2energyservices.com" TargetMode="External"/><Relationship Id="rId13" Type="http://schemas.openxmlformats.org/officeDocument/2006/relationships/hyperlink" Target="mailto:shannon@3phase-power.net" TargetMode="External"/><Relationship Id="rId18" Type="http://schemas.openxmlformats.org/officeDocument/2006/relationships/hyperlink" Target="mailto:amanda.smith@arborworksinc.com" TargetMode="External"/><Relationship Id="rId3" Type="http://schemas.openxmlformats.org/officeDocument/2006/relationships/hyperlink" Target="mailto:matt.racette@kvpenergy.com" TargetMode="External"/><Relationship Id="rId7" Type="http://schemas.openxmlformats.org/officeDocument/2006/relationships/hyperlink" Target="mailto:matonnaraines@rainesec.onmicrosoft.com" TargetMode="External"/><Relationship Id="rId12" Type="http://schemas.openxmlformats.org/officeDocument/2006/relationships/hyperlink" Target="mailto:matt@k2wutilities.com" TargetMode="External"/><Relationship Id="rId17" Type="http://schemas.openxmlformats.org/officeDocument/2006/relationships/hyperlink" Target="mailto:toddmilco@gmail.com" TargetMode="External"/><Relationship Id="rId2" Type="http://schemas.openxmlformats.org/officeDocument/2006/relationships/hyperlink" Target="mailto:peter.ruggiero@rspowerservice.com" TargetMode="External"/><Relationship Id="rId16" Type="http://schemas.openxmlformats.org/officeDocument/2006/relationships/hyperlink" Target="mailto:Slade@premierpowercompany.com" TargetMode="External"/><Relationship Id="rId20" Type="http://schemas.openxmlformats.org/officeDocument/2006/relationships/hyperlink" Target="mailto:brant@synergylinesolutions.com" TargetMode="External"/><Relationship Id="rId1" Type="http://schemas.openxmlformats.org/officeDocument/2006/relationships/hyperlink" Target="mailto:avo.electricllc@gmail.com" TargetMode="External"/><Relationship Id="rId6" Type="http://schemas.openxmlformats.org/officeDocument/2006/relationships/hyperlink" Target="mailto:matt.racette@kvpenergy.com" TargetMode="External"/><Relationship Id="rId11" Type="http://schemas.openxmlformats.org/officeDocument/2006/relationships/hyperlink" Target="mailto:jbower@dynamic2016.com" TargetMode="External"/><Relationship Id="rId5" Type="http://schemas.openxmlformats.org/officeDocument/2006/relationships/hyperlink" Target="mailto:bboecher@bloecherelectric.com" TargetMode="External"/><Relationship Id="rId15" Type="http://schemas.openxmlformats.org/officeDocument/2006/relationships/hyperlink" Target="mailto:readelectric@aol.com" TargetMode="External"/><Relationship Id="rId10" Type="http://schemas.openxmlformats.org/officeDocument/2006/relationships/hyperlink" Target="mailto:jesse@maplecityelectric.com" TargetMode="External"/><Relationship Id="rId19" Type="http://schemas.openxmlformats.org/officeDocument/2006/relationships/hyperlink" Target="mailto:christy@killencontractors.com" TargetMode="External"/><Relationship Id="rId4" Type="http://schemas.openxmlformats.org/officeDocument/2006/relationships/hyperlink" Target="mailto:matt.racette@kvpenergy.com" TargetMode="External"/><Relationship Id="rId9" Type="http://schemas.openxmlformats.org/officeDocument/2006/relationships/hyperlink" Target="mailto:jodelle.homminga@lvmpower.com" TargetMode="External"/><Relationship Id="rId14" Type="http://schemas.openxmlformats.org/officeDocument/2006/relationships/hyperlink" Target="mailto:terry@lockeselectrical.c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odelle.homminga@lvmpower.com" TargetMode="External"/><Relationship Id="rId2" Type="http://schemas.openxmlformats.org/officeDocument/2006/relationships/hyperlink" Target="mailto:matt@k2wutilities.com" TargetMode="External"/><Relationship Id="rId1" Type="http://schemas.openxmlformats.org/officeDocument/2006/relationships/hyperlink" Target="mailto:shannon@3phase-power.net" TargetMode="External"/><Relationship Id="rId4" Type="http://schemas.openxmlformats.org/officeDocument/2006/relationships/hyperlink" Target="mailto:terry@lockeselectrical.c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jodelle.homminga@lvmpower.com" TargetMode="External"/><Relationship Id="rId2" Type="http://schemas.openxmlformats.org/officeDocument/2006/relationships/hyperlink" Target="mailto:matt@k2wutilities.com" TargetMode="External"/><Relationship Id="rId1" Type="http://schemas.openxmlformats.org/officeDocument/2006/relationships/hyperlink" Target="mailto:shannon@3phase-power.net" TargetMode="External"/><Relationship Id="rId6" Type="http://schemas.openxmlformats.org/officeDocument/2006/relationships/hyperlink" Target="mailto:jesse@maplecityelectric.com" TargetMode="External"/><Relationship Id="rId5" Type="http://schemas.openxmlformats.org/officeDocument/2006/relationships/hyperlink" Target="mailto:jbower@dynamic2016.com" TargetMode="External"/><Relationship Id="rId4" Type="http://schemas.openxmlformats.org/officeDocument/2006/relationships/hyperlink" Target="mailto:terry@lockeselectrical.ca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@w2energyservices.com" TargetMode="External"/><Relationship Id="rId3" Type="http://schemas.openxmlformats.org/officeDocument/2006/relationships/hyperlink" Target="mailto:matt.racette@kvpenergy.com" TargetMode="External"/><Relationship Id="rId7" Type="http://schemas.openxmlformats.org/officeDocument/2006/relationships/hyperlink" Target="mailto:matonnaraines@rainesec.onmicrosoft.com" TargetMode="External"/><Relationship Id="rId2" Type="http://schemas.openxmlformats.org/officeDocument/2006/relationships/hyperlink" Target="mailto:peter.ruggiero@rspowerservice.com" TargetMode="External"/><Relationship Id="rId1" Type="http://schemas.openxmlformats.org/officeDocument/2006/relationships/hyperlink" Target="mailto:avo.electricllc@gmail.com" TargetMode="External"/><Relationship Id="rId6" Type="http://schemas.openxmlformats.org/officeDocument/2006/relationships/hyperlink" Target="mailto:matt.racette@kvpenergy.com" TargetMode="External"/><Relationship Id="rId5" Type="http://schemas.openxmlformats.org/officeDocument/2006/relationships/hyperlink" Target="mailto:bboecher@bloecherelectric.com" TargetMode="External"/><Relationship Id="rId4" Type="http://schemas.openxmlformats.org/officeDocument/2006/relationships/hyperlink" Target="mailto:matt.racette@kvpenergy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matt.racette@kvpenergy.com" TargetMode="External"/><Relationship Id="rId3" Type="http://schemas.openxmlformats.org/officeDocument/2006/relationships/hyperlink" Target="mailto:matt.racette@kvpenergy.com" TargetMode="External"/><Relationship Id="rId7" Type="http://schemas.openxmlformats.org/officeDocument/2006/relationships/hyperlink" Target="mailto:tyler@w2energyservices.com" TargetMode="External"/><Relationship Id="rId2" Type="http://schemas.openxmlformats.org/officeDocument/2006/relationships/hyperlink" Target="mailto:matt.racette@kvpenergy.com" TargetMode="External"/><Relationship Id="rId1" Type="http://schemas.openxmlformats.org/officeDocument/2006/relationships/hyperlink" Target="mailto:peter.ruggiero@rspowerservice.com" TargetMode="External"/><Relationship Id="rId6" Type="http://schemas.openxmlformats.org/officeDocument/2006/relationships/hyperlink" Target="mailto:matonnaraines@rainesec.onmicrosoft.com" TargetMode="External"/><Relationship Id="rId5" Type="http://schemas.openxmlformats.org/officeDocument/2006/relationships/hyperlink" Target="mailto:matt.racette@kvpenergy.com" TargetMode="External"/><Relationship Id="rId4" Type="http://schemas.openxmlformats.org/officeDocument/2006/relationships/hyperlink" Target="mailto:bboecher@bloecherelectric.com" TargetMode="External"/><Relationship Id="rId9" Type="http://schemas.openxmlformats.org/officeDocument/2006/relationships/hyperlink" Target="mailto:bboecher@bloecherelectric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att.racette@kvpenergy.com" TargetMode="External"/><Relationship Id="rId2" Type="http://schemas.openxmlformats.org/officeDocument/2006/relationships/hyperlink" Target="mailto:peter.ruggiero@rspowerservice.com" TargetMode="External"/><Relationship Id="rId1" Type="http://schemas.openxmlformats.org/officeDocument/2006/relationships/hyperlink" Target="mailto:avo.electricllc@gmail.com" TargetMode="External"/><Relationship Id="rId4" Type="http://schemas.openxmlformats.org/officeDocument/2006/relationships/hyperlink" Target="mailto:matt.racette@kvpenergy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matt.racette@kvpenergy.com" TargetMode="External"/><Relationship Id="rId2" Type="http://schemas.openxmlformats.org/officeDocument/2006/relationships/hyperlink" Target="mailto:peter.ruggiero@rspowerservice.com" TargetMode="External"/><Relationship Id="rId1" Type="http://schemas.openxmlformats.org/officeDocument/2006/relationships/hyperlink" Target="mailto:avo.electricllc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tt.racette@kvpenergy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matt.racette@kvpenergy.com" TargetMode="External"/><Relationship Id="rId1" Type="http://schemas.openxmlformats.org/officeDocument/2006/relationships/hyperlink" Target="mailto:matt.racette@kvpenergy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matt.racette@kvpenergy.com" TargetMode="External"/><Relationship Id="rId1" Type="http://schemas.openxmlformats.org/officeDocument/2006/relationships/hyperlink" Target="mailto:matt.racette@kvpenergy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021C-FD5C-4EEB-A8E5-E1DC6D670186}">
  <sheetPr filterMode="1"/>
  <dimension ref="A1:Q216"/>
  <sheetViews>
    <sheetView tabSelected="1" zoomScale="70" zoomScaleNormal="70" workbookViewId="0">
      <pane ySplit="1" topLeftCell="A2" activePane="bottomLeft" state="frozen"/>
      <selection pane="bottomLeft" activeCell="L220" sqref="L220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6.6640625" bestFit="1" customWidth="1"/>
    <col min="6" max="6" width="18.5546875" bestFit="1" customWidth="1"/>
    <col min="7" max="7" width="28.77734375" customWidth="1"/>
    <col min="13" max="13" width="26.109375" bestFit="1" customWidth="1"/>
    <col min="14" max="14" width="28.33203125" bestFit="1" customWidth="1"/>
    <col min="15" max="15" width="26.88671875" customWidth="1"/>
    <col min="16" max="16" width="30.33203125" bestFit="1" customWidth="1"/>
    <col min="17" max="17" width="26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767</v>
      </c>
      <c r="N1" t="s">
        <v>755</v>
      </c>
      <c r="O1" t="s">
        <v>756</v>
      </c>
      <c r="P1" t="s">
        <v>757</v>
      </c>
      <c r="Q1" t="s">
        <v>758</v>
      </c>
    </row>
    <row r="2" spans="1:17" hidden="1" x14ac:dyDescent="0.3">
      <c r="A2" s="52" t="s">
        <v>20</v>
      </c>
      <c r="B2" t="s">
        <v>21</v>
      </c>
      <c r="C2" t="s">
        <v>22</v>
      </c>
      <c r="D2" s="18" t="s">
        <v>23</v>
      </c>
      <c r="E2" s="10" t="s">
        <v>24</v>
      </c>
      <c r="F2" t="s">
        <v>25</v>
      </c>
      <c r="G2" t="s">
        <v>716</v>
      </c>
      <c r="P2" s="50"/>
      <c r="Q2" s="51"/>
    </row>
    <row r="3" spans="1:17" hidden="1" x14ac:dyDescent="0.3">
      <c r="A3" s="52" t="s">
        <v>20</v>
      </c>
      <c r="B3" t="s">
        <v>21</v>
      </c>
      <c r="C3" t="s">
        <v>22</v>
      </c>
      <c r="D3" s="18" t="s">
        <v>23</v>
      </c>
      <c r="E3" s="10" t="s">
        <v>24</v>
      </c>
      <c r="F3" t="s">
        <v>25</v>
      </c>
      <c r="G3" t="s">
        <v>717</v>
      </c>
      <c r="P3" s="50"/>
    </row>
    <row r="4" spans="1:17" hidden="1" x14ac:dyDescent="0.3">
      <c r="A4" s="52" t="s">
        <v>27</v>
      </c>
      <c r="B4" t="s">
        <v>28</v>
      </c>
      <c r="C4" t="s">
        <v>29</v>
      </c>
      <c r="D4" s="18" t="s">
        <v>30</v>
      </c>
      <c r="E4" s="10" t="s">
        <v>31</v>
      </c>
      <c r="F4" t="s">
        <v>32</v>
      </c>
      <c r="G4" t="s">
        <v>33</v>
      </c>
    </row>
    <row r="5" spans="1:17" hidden="1" x14ac:dyDescent="0.3">
      <c r="A5" s="52" t="s">
        <v>27</v>
      </c>
      <c r="B5" t="s">
        <v>28</v>
      </c>
      <c r="C5" t="s">
        <v>29</v>
      </c>
      <c r="D5" s="18" t="s">
        <v>30</v>
      </c>
      <c r="E5" s="10" t="s">
        <v>31</v>
      </c>
      <c r="F5" t="s">
        <v>32</v>
      </c>
      <c r="G5" t="s">
        <v>34</v>
      </c>
    </row>
    <row r="6" spans="1:17" hidden="1" x14ac:dyDescent="0.3">
      <c r="A6" s="52" t="s">
        <v>35</v>
      </c>
      <c r="B6" t="s">
        <v>28</v>
      </c>
      <c r="C6" t="s">
        <v>29</v>
      </c>
      <c r="D6" t="s">
        <v>36</v>
      </c>
      <c r="E6" t="s">
        <v>37</v>
      </c>
      <c r="F6" t="s">
        <v>38</v>
      </c>
      <c r="G6" t="s">
        <v>733</v>
      </c>
      <c r="Q6" s="1"/>
    </row>
    <row r="7" spans="1:17" hidden="1" x14ac:dyDescent="0.3">
      <c r="A7" s="53" t="s">
        <v>45</v>
      </c>
      <c r="B7" t="s">
        <v>21</v>
      </c>
      <c r="C7" t="s">
        <v>22</v>
      </c>
      <c r="D7" s="10" t="s">
        <v>41</v>
      </c>
      <c r="E7" s="10" t="s">
        <v>42</v>
      </c>
      <c r="F7" t="s">
        <v>43</v>
      </c>
      <c r="G7" t="s">
        <v>321</v>
      </c>
      <c r="Q7" s="1"/>
    </row>
    <row r="8" spans="1:17" hidden="1" x14ac:dyDescent="0.3">
      <c r="A8" s="53" t="s">
        <v>45</v>
      </c>
      <c r="B8" t="s">
        <v>21</v>
      </c>
      <c r="C8" t="s">
        <v>22</v>
      </c>
      <c r="D8" s="10" t="s">
        <v>41</v>
      </c>
      <c r="E8" s="10" t="s">
        <v>42</v>
      </c>
      <c r="F8" t="s">
        <v>43</v>
      </c>
      <c r="G8" t="s">
        <v>695</v>
      </c>
      <c r="Q8" s="1"/>
    </row>
    <row r="9" spans="1:17" hidden="1" x14ac:dyDescent="0.3">
      <c r="A9" s="53" t="s">
        <v>45</v>
      </c>
      <c r="B9" t="s">
        <v>21</v>
      </c>
      <c r="C9" t="s">
        <v>22</v>
      </c>
      <c r="D9" s="10" t="s">
        <v>41</v>
      </c>
      <c r="E9" s="10" t="s">
        <v>42</v>
      </c>
      <c r="F9" t="s">
        <v>43</v>
      </c>
      <c r="G9" t="s">
        <v>86</v>
      </c>
      <c r="Q9" s="1"/>
    </row>
    <row r="10" spans="1:17" hidden="1" x14ac:dyDescent="0.3">
      <c r="A10" s="52" t="s">
        <v>45</v>
      </c>
      <c r="B10" t="s">
        <v>21</v>
      </c>
      <c r="C10" t="s">
        <v>22</v>
      </c>
      <c r="D10" s="10" t="s">
        <v>41</v>
      </c>
      <c r="E10" s="10" t="s">
        <v>42</v>
      </c>
      <c r="F10" t="s">
        <v>43</v>
      </c>
      <c r="G10" t="s">
        <v>46</v>
      </c>
      <c r="Q10" s="1"/>
    </row>
    <row r="11" spans="1:17" x14ac:dyDescent="0.3">
      <c r="A11" s="41" t="s">
        <v>47</v>
      </c>
      <c r="B11" t="s">
        <v>21</v>
      </c>
      <c r="C11" t="s">
        <v>22</v>
      </c>
      <c r="D11" t="s">
        <v>48</v>
      </c>
      <c r="E11" t="s">
        <v>49</v>
      </c>
      <c r="F11" t="s">
        <v>50</v>
      </c>
      <c r="G11" t="s">
        <v>781</v>
      </c>
      <c r="H11">
        <v>18</v>
      </c>
      <c r="M11" s="6">
        <v>2.5</v>
      </c>
      <c r="Q11" s="1"/>
    </row>
    <row r="12" spans="1:17" hidden="1" x14ac:dyDescent="0.3">
      <c r="A12" s="52" t="s">
        <v>52</v>
      </c>
      <c r="B12" t="s">
        <v>53</v>
      </c>
      <c r="C12" t="s">
        <v>29</v>
      </c>
      <c r="D12" s="10" t="s">
        <v>54</v>
      </c>
      <c r="E12" s="10" t="s">
        <v>55</v>
      </c>
      <c r="F12" t="s">
        <v>56</v>
      </c>
      <c r="G12" t="s">
        <v>513</v>
      </c>
    </row>
    <row r="13" spans="1:17" hidden="1" x14ac:dyDescent="0.3">
      <c r="A13" s="52" t="s">
        <v>58</v>
      </c>
      <c r="B13" t="s">
        <v>21</v>
      </c>
      <c r="C13" t="s">
        <v>29</v>
      </c>
      <c r="D13" s="18" t="s">
        <v>59</v>
      </c>
      <c r="E13" s="10" t="s">
        <v>60</v>
      </c>
      <c r="F13" t="s">
        <v>25</v>
      </c>
      <c r="G13" t="s">
        <v>61</v>
      </c>
      <c r="Q13" s="1"/>
    </row>
    <row r="14" spans="1:17" x14ac:dyDescent="0.3">
      <c r="A14" s="48" t="s">
        <v>62</v>
      </c>
      <c r="B14" t="s">
        <v>21</v>
      </c>
      <c r="C14" t="s">
        <v>22</v>
      </c>
      <c r="D14" s="18" t="s">
        <v>63</v>
      </c>
      <c r="E14" s="10" t="s">
        <v>64</v>
      </c>
      <c r="F14" t="s">
        <v>65</v>
      </c>
      <c r="G14" t="s">
        <v>352</v>
      </c>
      <c r="H14">
        <v>30</v>
      </c>
      <c r="I14">
        <v>10</v>
      </c>
      <c r="J14">
        <v>5</v>
      </c>
      <c r="K14">
        <v>5</v>
      </c>
      <c r="L14">
        <v>1</v>
      </c>
      <c r="M14" s="3">
        <v>7</v>
      </c>
    </row>
    <row r="15" spans="1:17" hidden="1" x14ac:dyDescent="0.3">
      <c r="A15" s="52" t="s">
        <v>67</v>
      </c>
      <c r="B15" t="s">
        <v>21</v>
      </c>
      <c r="C15" t="s">
        <v>22</v>
      </c>
      <c r="D15" s="18" t="s">
        <v>68</v>
      </c>
      <c r="E15" s="10" t="s">
        <v>69</v>
      </c>
      <c r="G15" t="s">
        <v>713</v>
      </c>
      <c r="P15" s="50"/>
      <c r="Q15" s="51"/>
    </row>
    <row r="16" spans="1:17" hidden="1" x14ac:dyDescent="0.3">
      <c r="A16" s="52" t="s">
        <v>70</v>
      </c>
      <c r="B16" t="s">
        <v>53</v>
      </c>
      <c r="C16" t="s">
        <v>29</v>
      </c>
      <c r="D16" t="s">
        <v>71</v>
      </c>
      <c r="E16" t="s">
        <v>72</v>
      </c>
      <c r="F16" t="s">
        <v>56</v>
      </c>
      <c r="G16" t="s">
        <v>729</v>
      </c>
      <c r="P16" s="50"/>
      <c r="Q16" s="1"/>
    </row>
    <row r="17" spans="1:17" hidden="1" x14ac:dyDescent="0.3">
      <c r="A17" s="52" t="s">
        <v>74</v>
      </c>
      <c r="B17" t="s">
        <v>21</v>
      </c>
      <c r="D17" t="s">
        <v>75</v>
      </c>
      <c r="E17" s="10" t="s">
        <v>76</v>
      </c>
      <c r="F17" t="s">
        <v>32</v>
      </c>
      <c r="G17" t="s">
        <v>77</v>
      </c>
      <c r="Q17" s="1"/>
    </row>
    <row r="18" spans="1:17" hidden="1" x14ac:dyDescent="0.3">
      <c r="A18" s="52" t="s">
        <v>759</v>
      </c>
      <c r="B18" t="s">
        <v>28</v>
      </c>
      <c r="C18" t="s">
        <v>22</v>
      </c>
      <c r="D18" s="49" t="s">
        <v>764</v>
      </c>
      <c r="E18" s="10" t="s">
        <v>765</v>
      </c>
      <c r="F18" t="s">
        <v>32</v>
      </c>
      <c r="G18" t="s">
        <v>46</v>
      </c>
      <c r="P18" s="50"/>
      <c r="Q18" s="1"/>
    </row>
    <row r="19" spans="1:17" hidden="1" x14ac:dyDescent="0.3">
      <c r="A19" s="52" t="s">
        <v>759</v>
      </c>
      <c r="B19" t="s">
        <v>28</v>
      </c>
      <c r="C19" t="s">
        <v>22</v>
      </c>
      <c r="D19" s="49" t="s">
        <v>764</v>
      </c>
      <c r="E19" s="10" t="s">
        <v>765</v>
      </c>
      <c r="F19" t="s">
        <v>32</v>
      </c>
      <c r="G19" t="s">
        <v>86</v>
      </c>
      <c r="P19" s="1"/>
      <c r="Q19" s="1"/>
    </row>
    <row r="20" spans="1:17" hidden="1" x14ac:dyDescent="0.3">
      <c r="A20" s="52" t="s">
        <v>759</v>
      </c>
      <c r="B20" t="s">
        <v>28</v>
      </c>
      <c r="C20" t="s">
        <v>22</v>
      </c>
      <c r="D20" s="49" t="s">
        <v>764</v>
      </c>
      <c r="E20" s="10" t="s">
        <v>765</v>
      </c>
      <c r="F20" t="s">
        <v>32</v>
      </c>
      <c r="G20" t="s">
        <v>695</v>
      </c>
      <c r="P20" s="50"/>
      <c r="Q20" s="1"/>
    </row>
    <row r="21" spans="1:17" hidden="1" x14ac:dyDescent="0.3">
      <c r="A21" s="52" t="s">
        <v>759</v>
      </c>
      <c r="G21" t="s">
        <v>321</v>
      </c>
    </row>
    <row r="22" spans="1:17" x14ac:dyDescent="0.3">
      <c r="A22" s="41" t="s">
        <v>720</v>
      </c>
      <c r="B22" t="s">
        <v>21</v>
      </c>
      <c r="C22" t="s">
        <v>22</v>
      </c>
      <c r="D22" s="49" t="s">
        <v>721</v>
      </c>
      <c r="E22" s="10" t="s">
        <v>723</v>
      </c>
      <c r="F22" s="10" t="s">
        <v>43</v>
      </c>
      <c r="G22" t="s">
        <v>722</v>
      </c>
      <c r="H22">
        <v>90</v>
      </c>
      <c r="M22" s="3">
        <v>7</v>
      </c>
      <c r="P22" s="50"/>
      <c r="Q22" s="1"/>
    </row>
    <row r="23" spans="1:17" hidden="1" x14ac:dyDescent="0.3">
      <c r="A23" s="52" t="s">
        <v>78</v>
      </c>
      <c r="B23" t="s">
        <v>53</v>
      </c>
      <c r="D23" s="18" t="s">
        <v>79</v>
      </c>
      <c r="E23" s="10" t="s">
        <v>80</v>
      </c>
      <c r="F23" t="s">
        <v>81</v>
      </c>
      <c r="G23" t="s">
        <v>82</v>
      </c>
    </row>
    <row r="24" spans="1:17" hidden="1" x14ac:dyDescent="0.3">
      <c r="A24" s="52" t="s">
        <v>83</v>
      </c>
      <c r="B24" t="s">
        <v>21</v>
      </c>
      <c r="C24" t="s">
        <v>22</v>
      </c>
      <c r="D24" s="18" t="s">
        <v>84</v>
      </c>
      <c r="E24" s="10" t="s">
        <v>85</v>
      </c>
      <c r="F24" t="s">
        <v>25</v>
      </c>
      <c r="G24" t="s">
        <v>736</v>
      </c>
      <c r="P24" s="50"/>
      <c r="Q24" s="1"/>
    </row>
    <row r="25" spans="1:17" hidden="1" x14ac:dyDescent="0.3">
      <c r="A25" s="52" t="s">
        <v>83</v>
      </c>
      <c r="B25" t="s">
        <v>21</v>
      </c>
      <c r="C25" t="s">
        <v>22</v>
      </c>
      <c r="D25" s="18" t="s">
        <v>84</v>
      </c>
      <c r="E25" s="10" t="s">
        <v>85</v>
      </c>
      <c r="F25" t="s">
        <v>25</v>
      </c>
      <c r="G25" t="s">
        <v>737</v>
      </c>
      <c r="P25" s="50"/>
      <c r="Q25" s="1"/>
    </row>
    <row r="26" spans="1:17" hidden="1" x14ac:dyDescent="0.3">
      <c r="A26" s="52" t="s">
        <v>706</v>
      </c>
      <c r="B26" t="s">
        <v>21</v>
      </c>
      <c r="C26" t="s">
        <v>22</v>
      </c>
      <c r="D26" s="18" t="s">
        <v>84</v>
      </c>
      <c r="E26" s="10" t="s">
        <v>85</v>
      </c>
      <c r="F26" t="s">
        <v>25</v>
      </c>
      <c r="G26" t="s">
        <v>242</v>
      </c>
      <c r="P26" s="50"/>
      <c r="Q26" s="1"/>
    </row>
    <row r="27" spans="1:17" hidden="1" x14ac:dyDescent="0.3">
      <c r="A27" s="52" t="s">
        <v>89</v>
      </c>
      <c r="B27" t="s">
        <v>21</v>
      </c>
      <c r="C27" t="s">
        <v>22</v>
      </c>
      <c r="D27" t="s">
        <v>90</v>
      </c>
      <c r="E27" s="10" t="s">
        <v>91</v>
      </c>
      <c r="F27" t="s">
        <v>92</v>
      </c>
      <c r="G27" t="s">
        <v>775</v>
      </c>
      <c r="H27">
        <v>32</v>
      </c>
      <c r="I27">
        <v>10</v>
      </c>
      <c r="J27">
        <v>4</v>
      </c>
      <c r="M27" s="7">
        <v>18</v>
      </c>
    </row>
    <row r="28" spans="1:17" hidden="1" x14ac:dyDescent="0.3">
      <c r="A28" s="41" t="s">
        <v>89</v>
      </c>
      <c r="B28" t="s">
        <v>21</v>
      </c>
      <c r="C28" t="s">
        <v>22</v>
      </c>
      <c r="D28" t="s">
        <v>90</v>
      </c>
      <c r="E28" s="10" t="s">
        <v>91</v>
      </c>
      <c r="F28" t="s">
        <v>92</v>
      </c>
      <c r="G28" t="s">
        <v>94</v>
      </c>
      <c r="H28">
        <v>54</v>
      </c>
      <c r="I28">
        <v>20</v>
      </c>
      <c r="J28">
        <v>4</v>
      </c>
      <c r="M28" s="7">
        <v>12</v>
      </c>
    </row>
    <row r="29" spans="1:17" hidden="1" x14ac:dyDescent="0.3">
      <c r="A29" s="52" t="s">
        <v>95</v>
      </c>
      <c r="B29" t="s">
        <v>21</v>
      </c>
      <c r="C29" t="s">
        <v>22</v>
      </c>
      <c r="D29" s="18" t="s">
        <v>96</v>
      </c>
      <c r="E29" s="10" t="s">
        <v>97</v>
      </c>
      <c r="F29" t="s">
        <v>25</v>
      </c>
      <c r="G29" t="s">
        <v>98</v>
      </c>
      <c r="Q29" s="1"/>
    </row>
    <row r="30" spans="1:17" hidden="1" x14ac:dyDescent="0.3">
      <c r="A30" s="52" t="s">
        <v>99</v>
      </c>
      <c r="B30" t="s">
        <v>53</v>
      </c>
      <c r="C30" t="s">
        <v>22</v>
      </c>
      <c r="D30" t="s">
        <v>100</v>
      </c>
      <c r="E30" t="s">
        <v>101</v>
      </c>
      <c r="F30" t="s">
        <v>56</v>
      </c>
      <c r="G30" t="s">
        <v>102</v>
      </c>
      <c r="Q30" s="1"/>
    </row>
    <row r="31" spans="1:17" hidden="1" x14ac:dyDescent="0.3">
      <c r="A31" s="52" t="s">
        <v>103</v>
      </c>
      <c r="B31" t="s">
        <v>28</v>
      </c>
      <c r="C31" t="s">
        <v>22</v>
      </c>
      <c r="D31" s="18" t="s">
        <v>104</v>
      </c>
      <c r="E31" s="10" t="s">
        <v>105</v>
      </c>
      <c r="F31" t="s">
        <v>43</v>
      </c>
      <c r="G31" t="s">
        <v>106</v>
      </c>
    </row>
    <row r="32" spans="1:17" hidden="1" x14ac:dyDescent="0.3">
      <c r="A32" s="53" t="s">
        <v>107</v>
      </c>
      <c r="B32" t="s">
        <v>21</v>
      </c>
      <c r="C32" t="s">
        <v>22</v>
      </c>
      <c r="D32" t="s">
        <v>108</v>
      </c>
      <c r="E32" t="s">
        <v>109</v>
      </c>
      <c r="F32" t="s">
        <v>110</v>
      </c>
      <c r="G32" t="s">
        <v>702</v>
      </c>
      <c r="Q32" s="1"/>
    </row>
    <row r="33" spans="1:17" hidden="1" x14ac:dyDescent="0.3">
      <c r="A33" s="53" t="s">
        <v>107</v>
      </c>
      <c r="B33" t="s">
        <v>21</v>
      </c>
      <c r="C33" t="s">
        <v>22</v>
      </c>
      <c r="D33" t="s">
        <v>108</v>
      </c>
      <c r="E33" t="s">
        <v>109</v>
      </c>
      <c r="F33" t="s">
        <v>110</v>
      </c>
      <c r="G33" t="s">
        <v>732</v>
      </c>
      <c r="Q33" s="1"/>
    </row>
    <row r="34" spans="1:17" hidden="1" x14ac:dyDescent="0.3">
      <c r="A34" s="53" t="s">
        <v>107</v>
      </c>
      <c r="B34" t="s">
        <v>21</v>
      </c>
      <c r="C34" t="s">
        <v>22</v>
      </c>
      <c r="D34" t="s">
        <v>108</v>
      </c>
      <c r="E34" t="s">
        <v>109</v>
      </c>
      <c r="F34" t="s">
        <v>110</v>
      </c>
      <c r="G34" t="s">
        <v>718</v>
      </c>
      <c r="P34" s="50"/>
      <c r="Q34" s="1"/>
    </row>
    <row r="35" spans="1:17" hidden="1" x14ac:dyDescent="0.3">
      <c r="A35" s="52" t="s">
        <v>112</v>
      </c>
      <c r="B35" t="s">
        <v>113</v>
      </c>
      <c r="C35" t="s">
        <v>22</v>
      </c>
      <c r="D35" t="s">
        <v>114</v>
      </c>
      <c r="E35" t="s">
        <v>115</v>
      </c>
      <c r="F35" t="s">
        <v>92</v>
      </c>
      <c r="G35" t="s">
        <v>116</v>
      </c>
      <c r="Q35" s="1"/>
    </row>
    <row r="36" spans="1:17" hidden="1" x14ac:dyDescent="0.3">
      <c r="A36" s="52" t="s">
        <v>751</v>
      </c>
      <c r="G36" t="s">
        <v>752</v>
      </c>
    </row>
    <row r="37" spans="1:17" hidden="1" x14ac:dyDescent="0.3">
      <c r="A37" s="52" t="s">
        <v>117</v>
      </c>
      <c r="B37" t="s">
        <v>28</v>
      </c>
      <c r="D37" s="18" t="s">
        <v>118</v>
      </c>
      <c r="E37" s="10" t="s">
        <v>119</v>
      </c>
    </row>
    <row r="38" spans="1:17" hidden="1" x14ac:dyDescent="0.3">
      <c r="A38" s="52" t="s">
        <v>120</v>
      </c>
      <c r="B38" t="s">
        <v>28</v>
      </c>
      <c r="C38" t="s">
        <v>22</v>
      </c>
      <c r="D38" s="18" t="s">
        <v>121</v>
      </c>
      <c r="E38" s="10" t="s">
        <v>122</v>
      </c>
      <c r="F38" t="s">
        <v>32</v>
      </c>
      <c r="G38" t="s">
        <v>123</v>
      </c>
    </row>
    <row r="39" spans="1:17" hidden="1" x14ac:dyDescent="0.3">
      <c r="A39" s="52" t="s">
        <v>124</v>
      </c>
      <c r="B39" t="s">
        <v>28</v>
      </c>
      <c r="C39" t="s">
        <v>22</v>
      </c>
      <c r="D39" s="18" t="s">
        <v>121</v>
      </c>
      <c r="E39" s="10" t="s">
        <v>122</v>
      </c>
      <c r="F39" t="s">
        <v>32</v>
      </c>
      <c r="G39" t="s">
        <v>34</v>
      </c>
    </row>
    <row r="40" spans="1:17" hidden="1" x14ac:dyDescent="0.3">
      <c r="A40" s="52" t="s">
        <v>125</v>
      </c>
      <c r="B40" t="s">
        <v>28</v>
      </c>
      <c r="C40" t="s">
        <v>22</v>
      </c>
      <c r="D40" s="18" t="s">
        <v>126</v>
      </c>
      <c r="E40" s="10" t="s">
        <v>127</v>
      </c>
      <c r="F40" t="s">
        <v>32</v>
      </c>
      <c r="G40" t="s">
        <v>128</v>
      </c>
    </row>
    <row r="41" spans="1:17" hidden="1" x14ac:dyDescent="0.3">
      <c r="A41" s="52" t="s">
        <v>129</v>
      </c>
      <c r="B41" t="s">
        <v>21</v>
      </c>
      <c r="C41" t="s">
        <v>22</v>
      </c>
      <c r="D41" s="18" t="s">
        <v>130</v>
      </c>
      <c r="E41" s="10" t="s">
        <v>131</v>
      </c>
      <c r="F41" t="s">
        <v>32</v>
      </c>
      <c r="G41" t="s">
        <v>132</v>
      </c>
    </row>
    <row r="42" spans="1:17" hidden="1" x14ac:dyDescent="0.3">
      <c r="A42" s="52" t="s">
        <v>129</v>
      </c>
      <c r="B42" t="s">
        <v>21</v>
      </c>
      <c r="C42" t="s">
        <v>22</v>
      </c>
      <c r="D42" s="18" t="s">
        <v>130</v>
      </c>
      <c r="E42" s="10" t="s">
        <v>131</v>
      </c>
      <c r="F42" t="s">
        <v>32</v>
      </c>
      <c r="G42" t="s">
        <v>133</v>
      </c>
    </row>
    <row r="43" spans="1:17" hidden="1" x14ac:dyDescent="0.3">
      <c r="A43" s="52" t="s">
        <v>134</v>
      </c>
      <c r="B43" t="s">
        <v>28</v>
      </c>
      <c r="C43" t="s">
        <v>29</v>
      </c>
      <c r="D43" t="s">
        <v>135</v>
      </c>
      <c r="E43" t="s">
        <v>136</v>
      </c>
      <c r="F43" t="s">
        <v>137</v>
      </c>
      <c r="G43" t="s">
        <v>138</v>
      </c>
      <c r="Q43" s="1"/>
    </row>
    <row r="44" spans="1:17" hidden="1" x14ac:dyDescent="0.3">
      <c r="A44" s="52" t="s">
        <v>139</v>
      </c>
      <c r="B44" t="s">
        <v>21</v>
      </c>
      <c r="C44" t="s">
        <v>22</v>
      </c>
      <c r="D44" t="s">
        <v>140</v>
      </c>
      <c r="E44" t="s">
        <v>141</v>
      </c>
      <c r="F44" t="s">
        <v>142</v>
      </c>
      <c r="G44" t="s">
        <v>143</v>
      </c>
      <c r="Q44" s="1"/>
    </row>
    <row r="45" spans="1:17" hidden="1" x14ac:dyDescent="0.3">
      <c r="A45" s="52" t="s">
        <v>139</v>
      </c>
      <c r="B45" t="s">
        <v>21</v>
      </c>
      <c r="C45" t="s">
        <v>22</v>
      </c>
      <c r="D45" t="s">
        <v>140</v>
      </c>
      <c r="E45" t="s">
        <v>141</v>
      </c>
      <c r="F45" t="s">
        <v>142</v>
      </c>
      <c r="G45" t="s">
        <v>700</v>
      </c>
      <c r="Q45" s="1"/>
    </row>
    <row r="46" spans="1:17" hidden="1" x14ac:dyDescent="0.3">
      <c r="A46" s="52" t="s">
        <v>139</v>
      </c>
      <c r="B46" t="s">
        <v>21</v>
      </c>
      <c r="C46" t="s">
        <v>22</v>
      </c>
      <c r="D46" t="s">
        <v>140</v>
      </c>
      <c r="E46" t="s">
        <v>141</v>
      </c>
      <c r="F46" t="s">
        <v>142</v>
      </c>
      <c r="G46" t="s">
        <v>536</v>
      </c>
      <c r="Q46" s="1"/>
    </row>
    <row r="47" spans="1:17" hidden="1" x14ac:dyDescent="0.3">
      <c r="A47" s="52" t="s">
        <v>146</v>
      </c>
      <c r="B47" t="s">
        <v>21</v>
      </c>
      <c r="C47" t="s">
        <v>29</v>
      </c>
      <c r="D47" t="s">
        <v>147</v>
      </c>
      <c r="E47" t="s">
        <v>148</v>
      </c>
      <c r="F47" t="s">
        <v>25</v>
      </c>
      <c r="G47" t="s">
        <v>149</v>
      </c>
      <c r="Q47" s="1"/>
    </row>
    <row r="48" spans="1:17" hidden="1" x14ac:dyDescent="0.3">
      <c r="A48" s="53" t="s">
        <v>146</v>
      </c>
      <c r="B48" t="s">
        <v>21</v>
      </c>
      <c r="C48" t="s">
        <v>29</v>
      </c>
      <c r="D48" t="s">
        <v>147</v>
      </c>
      <c r="E48" t="s">
        <v>148</v>
      </c>
      <c r="F48" t="s">
        <v>25</v>
      </c>
      <c r="G48" t="s">
        <v>86</v>
      </c>
      <c r="P48" s="1"/>
      <c r="Q48" s="1"/>
    </row>
    <row r="49" spans="1:17" hidden="1" x14ac:dyDescent="0.3">
      <c r="A49" s="52" t="s">
        <v>146</v>
      </c>
      <c r="B49" t="s">
        <v>21</v>
      </c>
      <c r="C49" t="s">
        <v>29</v>
      </c>
      <c r="D49" t="s">
        <v>147</v>
      </c>
      <c r="E49" t="s">
        <v>148</v>
      </c>
      <c r="F49" t="s">
        <v>25</v>
      </c>
      <c r="G49" t="s">
        <v>151</v>
      </c>
      <c r="Q49" s="1"/>
    </row>
    <row r="50" spans="1:17" hidden="1" x14ac:dyDescent="0.3">
      <c r="A50" s="52" t="s">
        <v>152</v>
      </c>
      <c r="B50" t="s">
        <v>28</v>
      </c>
      <c r="C50" t="s">
        <v>22</v>
      </c>
      <c r="D50" t="s">
        <v>153</v>
      </c>
      <c r="E50" t="s">
        <v>154</v>
      </c>
      <c r="F50" t="s">
        <v>155</v>
      </c>
      <c r="G50" t="s">
        <v>156</v>
      </c>
      <c r="Q50" s="1"/>
    </row>
    <row r="51" spans="1:17" hidden="1" x14ac:dyDescent="0.3">
      <c r="A51" s="52" t="s">
        <v>157</v>
      </c>
      <c r="B51" t="s">
        <v>53</v>
      </c>
      <c r="C51" t="s">
        <v>22</v>
      </c>
      <c r="D51" t="s">
        <v>153</v>
      </c>
      <c r="E51" t="s">
        <v>154</v>
      </c>
      <c r="F51" t="s">
        <v>56</v>
      </c>
      <c r="G51" t="s">
        <v>158</v>
      </c>
    </row>
    <row r="52" spans="1:17" hidden="1" x14ac:dyDescent="0.3">
      <c r="A52" s="52" t="s">
        <v>159</v>
      </c>
      <c r="B52" t="s">
        <v>28</v>
      </c>
      <c r="C52" t="s">
        <v>22</v>
      </c>
      <c r="D52" t="s">
        <v>160</v>
      </c>
      <c r="E52" t="s">
        <v>161</v>
      </c>
      <c r="F52" t="s">
        <v>162</v>
      </c>
      <c r="G52" t="s">
        <v>766</v>
      </c>
      <c r="Q52" s="1"/>
    </row>
    <row r="53" spans="1:17" hidden="1" x14ac:dyDescent="0.3">
      <c r="A53" s="52" t="s">
        <v>164</v>
      </c>
      <c r="B53" t="s">
        <v>28</v>
      </c>
      <c r="C53" t="s">
        <v>22</v>
      </c>
      <c r="D53" t="s">
        <v>165</v>
      </c>
      <c r="E53" t="s">
        <v>166</v>
      </c>
      <c r="F53" t="s">
        <v>32</v>
      </c>
      <c r="G53" t="s">
        <v>167</v>
      </c>
      <c r="Q53" s="1"/>
    </row>
    <row r="54" spans="1:17" hidden="1" x14ac:dyDescent="0.3">
      <c r="A54" s="52" t="s">
        <v>164</v>
      </c>
      <c r="B54" t="s">
        <v>53</v>
      </c>
      <c r="C54" t="s">
        <v>22</v>
      </c>
      <c r="D54" t="s">
        <v>165</v>
      </c>
      <c r="E54" t="s">
        <v>166</v>
      </c>
      <c r="F54" t="s">
        <v>32</v>
      </c>
      <c r="G54" t="s">
        <v>168</v>
      </c>
      <c r="Q54" s="1"/>
    </row>
    <row r="55" spans="1:17" hidden="1" x14ac:dyDescent="0.3">
      <c r="A55" s="52" t="s">
        <v>164</v>
      </c>
      <c r="B55" t="s">
        <v>53</v>
      </c>
      <c r="C55" t="s">
        <v>22</v>
      </c>
      <c r="D55" t="s">
        <v>165</v>
      </c>
      <c r="E55" t="s">
        <v>166</v>
      </c>
      <c r="F55" t="s">
        <v>32</v>
      </c>
      <c r="G55" t="s">
        <v>169</v>
      </c>
    </row>
    <row r="56" spans="1:17" hidden="1" x14ac:dyDescent="0.3">
      <c r="A56" s="52" t="s">
        <v>164</v>
      </c>
      <c r="B56" t="s">
        <v>53</v>
      </c>
      <c r="C56" t="s">
        <v>22</v>
      </c>
      <c r="D56" t="s">
        <v>165</v>
      </c>
      <c r="E56" t="s">
        <v>166</v>
      </c>
      <c r="F56" t="s">
        <v>32</v>
      </c>
      <c r="G56" t="s">
        <v>167</v>
      </c>
    </row>
    <row r="57" spans="1:17" hidden="1" x14ac:dyDescent="0.3">
      <c r="A57" s="52" t="s">
        <v>753</v>
      </c>
    </row>
    <row r="58" spans="1:17" hidden="1" x14ac:dyDescent="0.3">
      <c r="A58" s="52" t="s">
        <v>170</v>
      </c>
      <c r="B58" t="s">
        <v>53</v>
      </c>
      <c r="C58" t="s">
        <v>175</v>
      </c>
      <c r="D58" t="s">
        <v>171</v>
      </c>
      <c r="E58" t="s">
        <v>172</v>
      </c>
      <c r="F58" t="s">
        <v>56</v>
      </c>
      <c r="G58" t="s">
        <v>173</v>
      </c>
      <c r="P58" s="50"/>
      <c r="Q58" s="51"/>
    </row>
    <row r="59" spans="1:17" hidden="1" x14ac:dyDescent="0.3">
      <c r="A59" s="52" t="s">
        <v>170</v>
      </c>
      <c r="B59" t="s">
        <v>113</v>
      </c>
      <c r="D59" t="s">
        <v>171</v>
      </c>
      <c r="E59" t="s">
        <v>172</v>
      </c>
      <c r="F59" t="s">
        <v>56</v>
      </c>
      <c r="G59" t="s">
        <v>173</v>
      </c>
      <c r="Q59" s="1"/>
    </row>
    <row r="60" spans="1:17" hidden="1" x14ac:dyDescent="0.3">
      <c r="A60" s="52" t="s">
        <v>170</v>
      </c>
      <c r="B60" t="s">
        <v>53</v>
      </c>
      <c r="D60" t="s">
        <v>171</v>
      </c>
      <c r="E60" t="s">
        <v>172</v>
      </c>
      <c r="F60" t="s">
        <v>56</v>
      </c>
      <c r="G60" t="s">
        <v>174</v>
      </c>
    </row>
    <row r="61" spans="1:17" hidden="1" x14ac:dyDescent="0.3">
      <c r="A61" s="52" t="s">
        <v>176</v>
      </c>
      <c r="B61" t="s">
        <v>28</v>
      </c>
      <c r="C61" t="s">
        <v>22</v>
      </c>
      <c r="D61" s="18" t="s">
        <v>177</v>
      </c>
      <c r="E61" s="10" t="s">
        <v>178</v>
      </c>
      <c r="F61" t="s">
        <v>38</v>
      </c>
      <c r="G61" t="s">
        <v>179</v>
      </c>
    </row>
    <row r="62" spans="1:17" hidden="1" x14ac:dyDescent="0.3">
      <c r="A62" s="52" t="s">
        <v>180</v>
      </c>
      <c r="B62" t="s">
        <v>21</v>
      </c>
      <c r="C62" t="s">
        <v>22</v>
      </c>
      <c r="D62" s="18" t="s">
        <v>181</v>
      </c>
      <c r="E62" s="10" t="s">
        <v>182</v>
      </c>
      <c r="F62" t="s">
        <v>92</v>
      </c>
    </row>
    <row r="63" spans="1:17" hidden="1" x14ac:dyDescent="0.3">
      <c r="A63" s="52" t="s">
        <v>748</v>
      </c>
      <c r="G63" t="s">
        <v>749</v>
      </c>
    </row>
    <row r="64" spans="1:17" hidden="1" x14ac:dyDescent="0.3">
      <c r="A64" s="52" t="s">
        <v>748</v>
      </c>
      <c r="G64" t="s">
        <v>750</v>
      </c>
    </row>
    <row r="65" spans="1:17" hidden="1" x14ac:dyDescent="0.3">
      <c r="A65" s="52" t="s">
        <v>724</v>
      </c>
      <c r="B65" t="s">
        <v>21</v>
      </c>
      <c r="C65" t="s">
        <v>22</v>
      </c>
      <c r="D65" s="10" t="s">
        <v>725</v>
      </c>
      <c r="E65" s="10" t="s">
        <v>726</v>
      </c>
      <c r="F65" s="10" t="s">
        <v>92</v>
      </c>
      <c r="G65" s="10" t="s">
        <v>727</v>
      </c>
      <c r="P65" s="50"/>
      <c r="Q65" s="51"/>
    </row>
    <row r="66" spans="1:17" hidden="1" x14ac:dyDescent="0.3">
      <c r="A66" s="52" t="s">
        <v>724</v>
      </c>
      <c r="B66" t="s">
        <v>21</v>
      </c>
      <c r="C66" t="s">
        <v>22</v>
      </c>
      <c r="D66" s="10" t="s">
        <v>725</v>
      </c>
      <c r="E66" s="10" t="s">
        <v>726</v>
      </c>
      <c r="F66" s="10" t="s">
        <v>92</v>
      </c>
      <c r="G66" s="10" t="s">
        <v>728</v>
      </c>
      <c r="P66" s="50"/>
      <c r="Q66" s="51"/>
    </row>
    <row r="67" spans="1:17" hidden="1" x14ac:dyDescent="0.3">
      <c r="A67" s="52" t="s">
        <v>183</v>
      </c>
      <c r="B67" t="s">
        <v>28</v>
      </c>
      <c r="C67" t="s">
        <v>22</v>
      </c>
      <c r="D67" t="s">
        <v>184</v>
      </c>
      <c r="E67" t="s">
        <v>185</v>
      </c>
      <c r="F67" t="s">
        <v>186</v>
      </c>
      <c r="G67" t="s">
        <v>187</v>
      </c>
      <c r="Q67" s="1"/>
    </row>
    <row r="68" spans="1:17" x14ac:dyDescent="0.3">
      <c r="A68" s="41" t="s">
        <v>703</v>
      </c>
      <c r="G68" t="s">
        <v>704</v>
      </c>
      <c r="H68">
        <v>26</v>
      </c>
      <c r="I68">
        <v>10</v>
      </c>
      <c r="J68">
        <v>6</v>
      </c>
      <c r="K68">
        <v>4</v>
      </c>
      <c r="L68">
        <v>0</v>
      </c>
      <c r="M68" s="3">
        <v>8.5</v>
      </c>
      <c r="P68" s="50"/>
      <c r="Q68" s="1"/>
    </row>
    <row r="69" spans="1:17" x14ac:dyDescent="0.3">
      <c r="A69" s="41" t="s">
        <v>188</v>
      </c>
      <c r="B69" t="s">
        <v>21</v>
      </c>
      <c r="C69" t="s">
        <v>22</v>
      </c>
      <c r="D69" t="s">
        <v>189</v>
      </c>
      <c r="E69" t="s">
        <v>190</v>
      </c>
      <c r="F69" t="s">
        <v>191</v>
      </c>
      <c r="G69" t="s">
        <v>192</v>
      </c>
      <c r="H69">
        <v>75</v>
      </c>
      <c r="I69">
        <v>30</v>
      </c>
      <c r="J69">
        <v>15</v>
      </c>
      <c r="L69">
        <v>3</v>
      </c>
      <c r="M69" s="3">
        <v>8.5</v>
      </c>
      <c r="P69" s="50"/>
      <c r="Q69" s="1"/>
    </row>
    <row r="70" spans="1:17" hidden="1" x14ac:dyDescent="0.3">
      <c r="A70" s="52" t="s">
        <v>193</v>
      </c>
      <c r="B70" t="s">
        <v>28</v>
      </c>
      <c r="C70" t="s">
        <v>22</v>
      </c>
      <c r="D70" t="s">
        <v>194</v>
      </c>
      <c r="E70" t="s">
        <v>195</v>
      </c>
      <c r="F70" t="s">
        <v>43</v>
      </c>
      <c r="G70" t="s">
        <v>196</v>
      </c>
      <c r="M70" s="52"/>
      <c r="Q70" s="1"/>
    </row>
    <row r="71" spans="1:17" hidden="1" x14ac:dyDescent="0.3">
      <c r="A71" s="52" t="s">
        <v>202</v>
      </c>
      <c r="B71" t="s">
        <v>28</v>
      </c>
      <c r="C71" t="s">
        <v>22</v>
      </c>
      <c r="D71" t="s">
        <v>198</v>
      </c>
      <c r="E71" t="s">
        <v>199</v>
      </c>
      <c r="F71" t="s">
        <v>92</v>
      </c>
      <c r="G71" t="s">
        <v>116</v>
      </c>
      <c r="M71" s="52"/>
      <c r="Q71" s="1"/>
    </row>
    <row r="72" spans="1:17" hidden="1" x14ac:dyDescent="0.3">
      <c r="A72" s="53" t="s">
        <v>197</v>
      </c>
      <c r="B72" t="s">
        <v>21</v>
      </c>
      <c r="C72" t="s">
        <v>22</v>
      </c>
      <c r="D72" t="s">
        <v>198</v>
      </c>
      <c r="E72" t="s">
        <v>199</v>
      </c>
      <c r="F72" t="s">
        <v>200</v>
      </c>
      <c r="G72" t="s">
        <v>201</v>
      </c>
      <c r="M72" s="52"/>
      <c r="Q72" s="1"/>
    </row>
    <row r="73" spans="1:17" hidden="1" x14ac:dyDescent="0.3">
      <c r="A73" s="54" t="s">
        <v>204</v>
      </c>
      <c r="B73" t="s">
        <v>21</v>
      </c>
      <c r="C73" t="s">
        <v>22</v>
      </c>
      <c r="D73" s="10" t="s">
        <v>205</v>
      </c>
      <c r="E73" s="10" t="s">
        <v>206</v>
      </c>
      <c r="F73" t="s">
        <v>92</v>
      </c>
      <c r="G73" t="s">
        <v>709</v>
      </c>
      <c r="M73" s="52"/>
    </row>
    <row r="74" spans="1:17" hidden="1" x14ac:dyDescent="0.3">
      <c r="A74" s="54" t="s">
        <v>204</v>
      </c>
      <c r="B74" t="s">
        <v>21</v>
      </c>
      <c r="C74" t="s">
        <v>22</v>
      </c>
      <c r="D74" s="10" t="s">
        <v>205</v>
      </c>
      <c r="E74" s="10" t="s">
        <v>206</v>
      </c>
      <c r="F74" t="s">
        <v>92</v>
      </c>
      <c r="G74" t="s">
        <v>370</v>
      </c>
      <c r="M74" s="52"/>
    </row>
    <row r="75" spans="1:17" hidden="1" x14ac:dyDescent="0.3">
      <c r="A75" s="52" t="s">
        <v>208</v>
      </c>
      <c r="B75" t="s">
        <v>21</v>
      </c>
      <c r="C75" t="s">
        <v>22</v>
      </c>
      <c r="D75" t="s">
        <v>209</v>
      </c>
      <c r="E75" t="s">
        <v>210</v>
      </c>
      <c r="F75" t="s">
        <v>211</v>
      </c>
      <c r="G75" t="s">
        <v>212</v>
      </c>
      <c r="M75" s="52"/>
    </row>
    <row r="76" spans="1:17" hidden="1" x14ac:dyDescent="0.3">
      <c r="A76" s="52" t="s">
        <v>208</v>
      </c>
      <c r="B76" t="s">
        <v>21</v>
      </c>
      <c r="C76" t="s">
        <v>22</v>
      </c>
      <c r="D76" t="s">
        <v>209</v>
      </c>
      <c r="E76" t="s">
        <v>213</v>
      </c>
      <c r="F76" t="s">
        <v>211</v>
      </c>
      <c r="G76" t="s">
        <v>214</v>
      </c>
    </row>
    <row r="77" spans="1:17" hidden="1" x14ac:dyDescent="0.3">
      <c r="A77" s="52" t="s">
        <v>208</v>
      </c>
      <c r="B77" t="s">
        <v>21</v>
      </c>
      <c r="C77" t="s">
        <v>22</v>
      </c>
      <c r="D77" t="s">
        <v>209</v>
      </c>
      <c r="E77" t="s">
        <v>215</v>
      </c>
      <c r="F77" t="s">
        <v>211</v>
      </c>
      <c r="G77" t="s">
        <v>216</v>
      </c>
    </row>
    <row r="78" spans="1:17" hidden="1" x14ac:dyDescent="0.3">
      <c r="A78" s="52" t="s">
        <v>208</v>
      </c>
      <c r="B78" t="s">
        <v>21</v>
      </c>
      <c r="C78" t="s">
        <v>22</v>
      </c>
      <c r="D78" t="s">
        <v>209</v>
      </c>
      <c r="E78" t="s">
        <v>213</v>
      </c>
      <c r="F78" t="s">
        <v>211</v>
      </c>
      <c r="G78" t="s">
        <v>217</v>
      </c>
    </row>
    <row r="79" spans="1:17" hidden="1" x14ac:dyDescent="0.3">
      <c r="A79" s="52" t="s">
        <v>208</v>
      </c>
      <c r="B79" t="s">
        <v>21</v>
      </c>
      <c r="C79" t="s">
        <v>22</v>
      </c>
      <c r="D79" t="s">
        <v>209</v>
      </c>
      <c r="E79" t="s">
        <v>215</v>
      </c>
      <c r="F79" t="s">
        <v>211</v>
      </c>
      <c r="G79" t="s">
        <v>218</v>
      </c>
    </row>
    <row r="80" spans="1:17" hidden="1" x14ac:dyDescent="0.3">
      <c r="A80" s="52" t="s">
        <v>219</v>
      </c>
      <c r="B80" t="s">
        <v>28</v>
      </c>
      <c r="C80" t="s">
        <v>22</v>
      </c>
      <c r="D80" t="s">
        <v>220</v>
      </c>
      <c r="E80" t="s">
        <v>221</v>
      </c>
      <c r="F80" t="s">
        <v>25</v>
      </c>
      <c r="G80" t="s">
        <v>163</v>
      </c>
      <c r="Q80" s="1"/>
    </row>
    <row r="81" spans="1:17" hidden="1" x14ac:dyDescent="0.3">
      <c r="A81" s="41" t="s">
        <v>222</v>
      </c>
      <c r="B81" t="s">
        <v>21</v>
      </c>
      <c r="C81" t="s">
        <v>29</v>
      </c>
      <c r="D81" s="43" t="s">
        <v>223</v>
      </c>
      <c r="E81" s="10" t="s">
        <v>224</v>
      </c>
      <c r="F81" t="s">
        <v>211</v>
      </c>
      <c r="G81" t="s">
        <v>770</v>
      </c>
      <c r="H81">
        <v>100</v>
      </c>
      <c r="I81">
        <v>20</v>
      </c>
      <c r="J81">
        <v>10</v>
      </c>
      <c r="K81">
        <v>5</v>
      </c>
      <c r="L81">
        <v>0</v>
      </c>
      <c r="M81" s="7">
        <v>11</v>
      </c>
    </row>
    <row r="82" spans="1:17" hidden="1" x14ac:dyDescent="0.3">
      <c r="A82" s="52" t="s">
        <v>222</v>
      </c>
      <c r="B82" t="s">
        <v>21</v>
      </c>
      <c r="C82" t="s">
        <v>29</v>
      </c>
      <c r="D82" s="43" t="s">
        <v>223</v>
      </c>
      <c r="E82" s="10" t="s">
        <v>224</v>
      </c>
      <c r="F82" t="s">
        <v>211</v>
      </c>
      <c r="G82" t="s">
        <v>225</v>
      </c>
      <c r="M82" s="52"/>
    </row>
    <row r="83" spans="1:17" hidden="1" x14ac:dyDescent="0.3">
      <c r="A83" s="52" t="s">
        <v>222</v>
      </c>
      <c r="B83" t="s">
        <v>21</v>
      </c>
      <c r="C83" t="s">
        <v>29</v>
      </c>
      <c r="D83" s="43" t="s">
        <v>223</v>
      </c>
      <c r="E83" s="10" t="s">
        <v>224</v>
      </c>
      <c r="F83" t="s">
        <v>211</v>
      </c>
      <c r="G83" t="s">
        <v>26</v>
      </c>
      <c r="M83" s="52"/>
    </row>
    <row r="84" spans="1:17" hidden="1" x14ac:dyDescent="0.3">
      <c r="A84" s="52" t="s">
        <v>222</v>
      </c>
      <c r="B84" t="s">
        <v>21</v>
      </c>
      <c r="C84" t="s">
        <v>29</v>
      </c>
      <c r="D84" s="43" t="s">
        <v>223</v>
      </c>
      <c r="E84" s="10" t="s">
        <v>224</v>
      </c>
      <c r="F84" t="s">
        <v>211</v>
      </c>
      <c r="G84" t="s">
        <v>226</v>
      </c>
      <c r="M84" s="52"/>
      <c r="P84" s="50"/>
      <c r="Q84" s="1"/>
    </row>
    <row r="85" spans="1:17" hidden="1" x14ac:dyDescent="0.3">
      <c r="A85" s="52" t="s">
        <v>222</v>
      </c>
      <c r="B85" t="s">
        <v>21</v>
      </c>
      <c r="C85" t="s">
        <v>29</v>
      </c>
      <c r="D85" s="43" t="s">
        <v>223</v>
      </c>
      <c r="E85" s="10" t="s">
        <v>224</v>
      </c>
      <c r="F85" t="s">
        <v>211</v>
      </c>
      <c r="G85" t="s">
        <v>227</v>
      </c>
      <c r="M85" s="52"/>
    </row>
    <row r="86" spans="1:17" hidden="1" x14ac:dyDescent="0.3">
      <c r="A86" s="52" t="s">
        <v>222</v>
      </c>
      <c r="B86" t="s">
        <v>21</v>
      </c>
      <c r="C86" t="s">
        <v>29</v>
      </c>
      <c r="D86" s="43" t="s">
        <v>223</v>
      </c>
      <c r="E86" s="10" t="s">
        <v>224</v>
      </c>
      <c r="F86" t="s">
        <v>211</v>
      </c>
      <c r="G86" t="s">
        <v>228</v>
      </c>
      <c r="M86" s="52"/>
    </row>
    <row r="87" spans="1:17" hidden="1" x14ac:dyDescent="0.3">
      <c r="A87" s="52" t="s">
        <v>222</v>
      </c>
      <c r="B87" t="s">
        <v>21</v>
      </c>
      <c r="C87" t="s">
        <v>29</v>
      </c>
      <c r="D87" s="43" t="s">
        <v>223</v>
      </c>
      <c r="E87" s="10" t="s">
        <v>224</v>
      </c>
      <c r="F87" t="s">
        <v>211</v>
      </c>
      <c r="G87" t="s">
        <v>229</v>
      </c>
      <c r="M87" s="52"/>
    </row>
    <row r="88" spans="1:17" hidden="1" x14ac:dyDescent="0.3">
      <c r="A88" s="52" t="s">
        <v>230</v>
      </c>
      <c r="B88" t="s">
        <v>28</v>
      </c>
      <c r="C88" t="s">
        <v>22</v>
      </c>
      <c r="D88" t="s">
        <v>231</v>
      </c>
      <c r="E88" t="s">
        <v>232</v>
      </c>
      <c r="F88" t="s">
        <v>92</v>
      </c>
      <c r="G88" t="s">
        <v>233</v>
      </c>
      <c r="M88" s="52"/>
      <c r="Q88" s="1"/>
    </row>
    <row r="89" spans="1:17" hidden="1" x14ac:dyDescent="0.3">
      <c r="A89" s="52" t="s">
        <v>234</v>
      </c>
      <c r="B89" t="s">
        <v>21</v>
      </c>
      <c r="C89" t="s">
        <v>22</v>
      </c>
      <c r="D89" t="s">
        <v>235</v>
      </c>
      <c r="E89" t="s">
        <v>236</v>
      </c>
      <c r="F89" t="s">
        <v>38</v>
      </c>
      <c r="G89" t="s">
        <v>387</v>
      </c>
      <c r="M89" s="52"/>
      <c r="Q89" s="1"/>
    </row>
    <row r="90" spans="1:17" x14ac:dyDescent="0.3">
      <c r="A90" s="41" t="s">
        <v>771</v>
      </c>
      <c r="B90" t="s">
        <v>21</v>
      </c>
      <c r="C90" s="55" t="s">
        <v>22</v>
      </c>
      <c r="D90" s="49" t="s">
        <v>772</v>
      </c>
      <c r="E90" s="10" t="s">
        <v>773</v>
      </c>
      <c r="F90" t="s">
        <v>92</v>
      </c>
      <c r="G90" t="s">
        <v>774</v>
      </c>
      <c r="H90">
        <v>22</v>
      </c>
      <c r="I90">
        <v>10</v>
      </c>
      <c r="J90">
        <v>3</v>
      </c>
      <c r="K90">
        <v>6</v>
      </c>
      <c r="L90">
        <v>1</v>
      </c>
      <c r="M90" s="6">
        <v>6</v>
      </c>
      <c r="Q90" s="1"/>
    </row>
    <row r="91" spans="1:17" x14ac:dyDescent="0.3">
      <c r="A91" s="41" t="s">
        <v>771</v>
      </c>
      <c r="B91" t="s">
        <v>21</v>
      </c>
      <c r="C91" s="55" t="s">
        <v>22</v>
      </c>
      <c r="D91" s="49" t="s">
        <v>772</v>
      </c>
      <c r="E91" s="10" t="s">
        <v>773</v>
      </c>
      <c r="F91" t="s">
        <v>92</v>
      </c>
      <c r="G91" t="s">
        <v>787</v>
      </c>
      <c r="H91">
        <v>25</v>
      </c>
      <c r="I91">
        <v>10</v>
      </c>
      <c r="J91">
        <v>5</v>
      </c>
      <c r="L91">
        <v>1</v>
      </c>
      <c r="M91" s="6">
        <v>6</v>
      </c>
      <c r="Q91" s="1"/>
    </row>
    <row r="92" spans="1:17" hidden="1" x14ac:dyDescent="0.3">
      <c r="A92" s="52" t="s">
        <v>238</v>
      </c>
      <c r="B92" t="s">
        <v>21</v>
      </c>
      <c r="C92" t="s">
        <v>22</v>
      </c>
      <c r="D92" t="s">
        <v>239</v>
      </c>
      <c r="E92" t="s">
        <v>240</v>
      </c>
      <c r="F92" t="s">
        <v>92</v>
      </c>
      <c r="G92" t="s">
        <v>241</v>
      </c>
      <c r="M92" s="52"/>
      <c r="Q92" s="1"/>
    </row>
    <row r="93" spans="1:17" hidden="1" x14ac:dyDescent="0.3">
      <c r="A93" s="52" t="s">
        <v>238</v>
      </c>
      <c r="B93" t="s">
        <v>21</v>
      </c>
      <c r="C93" t="s">
        <v>22</v>
      </c>
      <c r="D93" t="s">
        <v>239</v>
      </c>
      <c r="E93" t="s">
        <v>240</v>
      </c>
      <c r="F93" t="s">
        <v>92</v>
      </c>
      <c r="G93" t="s">
        <v>242</v>
      </c>
      <c r="M93" s="52"/>
      <c r="Q93" s="1"/>
    </row>
    <row r="94" spans="1:17" hidden="1" x14ac:dyDescent="0.3">
      <c r="A94" s="54" t="s">
        <v>738</v>
      </c>
      <c r="B94" t="s">
        <v>28</v>
      </c>
      <c r="C94" t="s">
        <v>739</v>
      </c>
      <c r="D94" s="49" t="s">
        <v>740</v>
      </c>
      <c r="E94" s="10" t="s">
        <v>741</v>
      </c>
      <c r="F94" t="s">
        <v>211</v>
      </c>
      <c r="G94" t="s">
        <v>34</v>
      </c>
      <c r="M94" s="52"/>
    </row>
    <row r="95" spans="1:17" hidden="1" x14ac:dyDescent="0.3">
      <c r="A95" s="52" t="s">
        <v>243</v>
      </c>
      <c r="B95" t="s">
        <v>28</v>
      </c>
      <c r="C95" t="s">
        <v>22</v>
      </c>
      <c r="D95" t="s">
        <v>244</v>
      </c>
      <c r="E95" t="s">
        <v>245</v>
      </c>
      <c r="F95" t="s">
        <v>246</v>
      </c>
      <c r="G95" t="s">
        <v>247</v>
      </c>
      <c r="M95" s="52"/>
      <c r="Q95" s="1"/>
    </row>
    <row r="96" spans="1:17" hidden="1" x14ac:dyDescent="0.3">
      <c r="A96" s="52" t="s">
        <v>248</v>
      </c>
      <c r="B96" t="s">
        <v>21</v>
      </c>
      <c r="C96" t="s">
        <v>22</v>
      </c>
      <c r="D96" t="s">
        <v>249</v>
      </c>
      <c r="E96" t="s">
        <v>250</v>
      </c>
      <c r="F96" t="s">
        <v>251</v>
      </c>
      <c r="G96" t="s">
        <v>252</v>
      </c>
      <c r="M96" s="52"/>
      <c r="P96" s="50"/>
      <c r="Q96" s="1"/>
    </row>
    <row r="97" spans="1:17" hidden="1" x14ac:dyDescent="0.3">
      <c r="A97" s="52" t="s">
        <v>248</v>
      </c>
      <c r="B97" t="s">
        <v>21</v>
      </c>
      <c r="C97" t="s">
        <v>22</v>
      </c>
      <c r="D97" t="s">
        <v>249</v>
      </c>
      <c r="E97" t="s">
        <v>250</v>
      </c>
      <c r="F97" t="s">
        <v>251</v>
      </c>
      <c r="G97" t="s">
        <v>253</v>
      </c>
      <c r="M97" s="52"/>
      <c r="P97" s="50"/>
      <c r="Q97" s="1"/>
    </row>
    <row r="98" spans="1:17" hidden="1" x14ac:dyDescent="0.3">
      <c r="A98" s="52" t="s">
        <v>248</v>
      </c>
      <c r="B98" t="s">
        <v>21</v>
      </c>
      <c r="C98" t="s">
        <v>22</v>
      </c>
      <c r="D98" t="s">
        <v>249</v>
      </c>
      <c r="E98" t="s">
        <v>250</v>
      </c>
      <c r="F98" t="s">
        <v>251</v>
      </c>
      <c r="G98" t="s">
        <v>254</v>
      </c>
      <c r="M98" s="52"/>
      <c r="P98" s="50"/>
      <c r="Q98" s="1"/>
    </row>
    <row r="99" spans="1:17" hidden="1" x14ac:dyDescent="0.3">
      <c r="A99" s="52" t="s">
        <v>255</v>
      </c>
      <c r="B99" t="s">
        <v>21</v>
      </c>
      <c r="C99" t="s">
        <v>22</v>
      </c>
      <c r="D99" t="s">
        <v>256</v>
      </c>
      <c r="E99" t="s">
        <v>257</v>
      </c>
      <c r="F99" t="s">
        <v>92</v>
      </c>
      <c r="G99" t="s">
        <v>258</v>
      </c>
      <c r="M99" s="52"/>
      <c r="Q99" s="1"/>
    </row>
    <row r="100" spans="1:17" hidden="1" x14ac:dyDescent="0.3">
      <c r="A100" s="53" t="s">
        <v>259</v>
      </c>
      <c r="B100" t="s">
        <v>21</v>
      </c>
      <c r="C100" t="s">
        <v>22</v>
      </c>
      <c r="D100" t="s">
        <v>260</v>
      </c>
      <c r="E100" t="s">
        <v>261</v>
      </c>
      <c r="F100" t="s">
        <v>211</v>
      </c>
      <c r="G100" t="s">
        <v>262</v>
      </c>
      <c r="M100" s="52"/>
      <c r="P100" s="50"/>
      <c r="Q100" s="1"/>
    </row>
    <row r="101" spans="1:17" hidden="1" x14ac:dyDescent="0.3">
      <c r="A101" s="52" t="s">
        <v>745</v>
      </c>
      <c r="M101" s="52"/>
    </row>
    <row r="102" spans="1:17" hidden="1" x14ac:dyDescent="0.3">
      <c r="A102" s="52" t="s">
        <v>263</v>
      </c>
      <c r="B102" t="s">
        <v>21</v>
      </c>
      <c r="C102" t="s">
        <v>22</v>
      </c>
      <c r="D102" s="18" t="s">
        <v>264</v>
      </c>
      <c r="E102" t="s">
        <v>265</v>
      </c>
      <c r="F102" t="s">
        <v>266</v>
      </c>
      <c r="G102" t="s">
        <v>163</v>
      </c>
      <c r="M102" s="52"/>
    </row>
    <row r="103" spans="1:17" hidden="1" x14ac:dyDescent="0.3">
      <c r="A103" s="52" t="s">
        <v>263</v>
      </c>
      <c r="B103" t="s">
        <v>21</v>
      </c>
      <c r="C103" t="s">
        <v>22</v>
      </c>
      <c r="D103" s="18" t="s">
        <v>264</v>
      </c>
      <c r="E103" t="s">
        <v>265</v>
      </c>
      <c r="F103" t="s">
        <v>266</v>
      </c>
      <c r="G103" t="s">
        <v>268</v>
      </c>
      <c r="M103" s="52"/>
    </row>
    <row r="104" spans="1:17" hidden="1" x14ac:dyDescent="0.3">
      <c r="A104" s="52" t="s">
        <v>263</v>
      </c>
      <c r="B104" t="s">
        <v>21</v>
      </c>
      <c r="C104" t="s">
        <v>22</v>
      </c>
      <c r="D104" s="18" t="s">
        <v>264</v>
      </c>
      <c r="E104" t="s">
        <v>265</v>
      </c>
      <c r="F104" t="s">
        <v>266</v>
      </c>
      <c r="G104" t="s">
        <v>269</v>
      </c>
      <c r="M104" s="52"/>
      <c r="P104" s="50"/>
      <c r="Q104" s="1"/>
    </row>
    <row r="105" spans="1:17" hidden="1" x14ac:dyDescent="0.3">
      <c r="A105" s="52" t="s">
        <v>263</v>
      </c>
      <c r="B105" t="s">
        <v>21</v>
      </c>
      <c r="C105" t="s">
        <v>22</v>
      </c>
      <c r="D105" s="18" t="s">
        <v>264</v>
      </c>
      <c r="E105" t="s">
        <v>265</v>
      </c>
      <c r="F105" t="s">
        <v>25</v>
      </c>
      <c r="G105" t="s">
        <v>270</v>
      </c>
      <c r="M105" s="52"/>
    </row>
    <row r="106" spans="1:17" hidden="1" x14ac:dyDescent="0.3">
      <c r="A106" s="52" t="s">
        <v>271</v>
      </c>
      <c r="B106" t="s">
        <v>53</v>
      </c>
      <c r="C106" t="s">
        <v>29</v>
      </c>
      <c r="D106" s="18" t="s">
        <v>272</v>
      </c>
      <c r="E106" s="10" t="s">
        <v>273</v>
      </c>
      <c r="F106" t="s">
        <v>56</v>
      </c>
      <c r="G106" t="s">
        <v>274</v>
      </c>
      <c r="M106" s="52"/>
      <c r="P106" s="50"/>
      <c r="Q106" s="1"/>
    </row>
    <row r="107" spans="1:17" hidden="1" x14ac:dyDescent="0.3">
      <c r="A107" s="52" t="s">
        <v>275</v>
      </c>
      <c r="B107" t="s">
        <v>28</v>
      </c>
      <c r="C107" t="s">
        <v>22</v>
      </c>
      <c r="D107" t="s">
        <v>276</v>
      </c>
      <c r="E107" t="s">
        <v>277</v>
      </c>
      <c r="F107" t="s">
        <v>38</v>
      </c>
      <c r="G107" t="s">
        <v>278</v>
      </c>
      <c r="M107" s="52"/>
      <c r="Q107" s="1"/>
    </row>
    <row r="108" spans="1:17" hidden="1" x14ac:dyDescent="0.3">
      <c r="A108" s="52" t="s">
        <v>275</v>
      </c>
      <c r="B108" t="s">
        <v>21</v>
      </c>
      <c r="C108" t="s">
        <v>22</v>
      </c>
      <c r="D108" t="s">
        <v>276</v>
      </c>
      <c r="E108" t="s">
        <v>277</v>
      </c>
      <c r="F108" t="s">
        <v>279</v>
      </c>
      <c r="G108" t="s">
        <v>280</v>
      </c>
      <c r="M108" s="52"/>
      <c r="Q108" s="1"/>
    </row>
    <row r="109" spans="1:17" hidden="1" x14ac:dyDescent="0.3">
      <c r="A109" s="52" t="s">
        <v>275</v>
      </c>
      <c r="B109" t="s">
        <v>21</v>
      </c>
      <c r="C109" t="s">
        <v>22</v>
      </c>
      <c r="D109" t="s">
        <v>276</v>
      </c>
      <c r="E109" t="s">
        <v>277</v>
      </c>
      <c r="F109" t="s">
        <v>279</v>
      </c>
      <c r="G109" t="s">
        <v>281</v>
      </c>
      <c r="M109" s="52"/>
      <c r="Q109" s="1"/>
    </row>
    <row r="110" spans="1:17" hidden="1" x14ac:dyDescent="0.3">
      <c r="A110" s="52" t="s">
        <v>275</v>
      </c>
      <c r="B110" t="s">
        <v>21</v>
      </c>
      <c r="C110" t="s">
        <v>22</v>
      </c>
      <c r="D110" t="s">
        <v>276</v>
      </c>
      <c r="E110" t="s">
        <v>277</v>
      </c>
      <c r="F110" t="s">
        <v>279</v>
      </c>
      <c r="G110" t="s">
        <v>282</v>
      </c>
      <c r="M110" s="52"/>
      <c r="P110" s="50"/>
      <c r="Q110" s="1"/>
    </row>
    <row r="111" spans="1:17" hidden="1" x14ac:dyDescent="0.3">
      <c r="A111" s="52" t="s">
        <v>283</v>
      </c>
      <c r="B111" t="s">
        <v>28</v>
      </c>
      <c r="C111" t="s">
        <v>22</v>
      </c>
      <c r="D111" s="18" t="s">
        <v>284</v>
      </c>
      <c r="E111" s="10" t="s">
        <v>285</v>
      </c>
      <c r="F111" t="s">
        <v>32</v>
      </c>
      <c r="G111" t="s">
        <v>286</v>
      </c>
      <c r="M111" s="52"/>
    </row>
    <row r="112" spans="1:17" x14ac:dyDescent="0.3">
      <c r="A112" s="48" t="s">
        <v>779</v>
      </c>
      <c r="B112" t="s">
        <v>21</v>
      </c>
      <c r="C112" t="s">
        <v>22</v>
      </c>
      <c r="D112" s="49" t="s">
        <v>780</v>
      </c>
      <c r="G112" s="10" t="s">
        <v>699</v>
      </c>
      <c r="H112">
        <v>5</v>
      </c>
      <c r="I112">
        <v>2</v>
      </c>
      <c r="J112">
        <v>1</v>
      </c>
      <c r="K112">
        <v>1</v>
      </c>
      <c r="L112">
        <v>0</v>
      </c>
      <c r="M112" s="6">
        <v>4</v>
      </c>
    </row>
    <row r="113" spans="1:17" hidden="1" x14ac:dyDescent="0.3">
      <c r="A113" s="52" t="s">
        <v>287</v>
      </c>
      <c r="B113" t="s">
        <v>21</v>
      </c>
      <c r="C113" t="s">
        <v>29</v>
      </c>
      <c r="D113" s="18" t="s">
        <v>288</v>
      </c>
      <c r="E113" s="10" t="s">
        <v>289</v>
      </c>
      <c r="F113" t="s">
        <v>25</v>
      </c>
      <c r="G113" t="s">
        <v>290</v>
      </c>
      <c r="M113" s="52"/>
    </row>
    <row r="114" spans="1:17" hidden="1" x14ac:dyDescent="0.3">
      <c r="A114" s="52" t="s">
        <v>291</v>
      </c>
      <c r="B114" t="s">
        <v>21</v>
      </c>
      <c r="C114" t="s">
        <v>22</v>
      </c>
      <c r="D114" s="18" t="s">
        <v>292</v>
      </c>
      <c r="E114" s="10" t="s">
        <v>293</v>
      </c>
      <c r="F114" t="s">
        <v>25</v>
      </c>
      <c r="H114">
        <v>40</v>
      </c>
      <c r="M114" s="6">
        <v>5</v>
      </c>
      <c r="P114" s="50"/>
      <c r="Q114" s="1"/>
    </row>
    <row r="115" spans="1:17" hidden="1" x14ac:dyDescent="0.3">
      <c r="A115" s="52" t="s">
        <v>298</v>
      </c>
      <c r="B115" t="s">
        <v>21</v>
      </c>
      <c r="C115" t="s">
        <v>22</v>
      </c>
      <c r="D115" t="s">
        <v>299</v>
      </c>
      <c r="E115" t="s">
        <v>300</v>
      </c>
      <c r="F115" t="s">
        <v>301</v>
      </c>
      <c r="G115" t="s">
        <v>302</v>
      </c>
      <c r="M115" s="52"/>
      <c r="P115" s="50"/>
      <c r="Q115" s="1"/>
    </row>
    <row r="116" spans="1:17" hidden="1" x14ac:dyDescent="0.3">
      <c r="A116" s="52" t="s">
        <v>298</v>
      </c>
      <c r="B116" t="s">
        <v>28</v>
      </c>
      <c r="C116" t="s">
        <v>29</v>
      </c>
      <c r="D116" s="18" t="s">
        <v>296</v>
      </c>
      <c r="E116" s="10" t="s">
        <v>297</v>
      </c>
      <c r="M116" s="52"/>
    </row>
    <row r="117" spans="1:17" x14ac:dyDescent="0.3">
      <c r="A117" s="41" t="s">
        <v>303</v>
      </c>
      <c r="B117" t="s">
        <v>21</v>
      </c>
      <c r="C117" t="s">
        <v>29</v>
      </c>
      <c r="D117" t="s">
        <v>304</v>
      </c>
      <c r="E117" t="s">
        <v>305</v>
      </c>
      <c r="F117" t="s">
        <v>306</v>
      </c>
      <c r="G117" t="s">
        <v>307</v>
      </c>
      <c r="H117">
        <v>80</v>
      </c>
      <c r="I117">
        <v>40</v>
      </c>
      <c r="J117">
        <v>18</v>
      </c>
      <c r="L117">
        <v>6</v>
      </c>
      <c r="M117" s="3">
        <v>8.5</v>
      </c>
      <c r="P117" s="50"/>
      <c r="Q117" s="1"/>
    </row>
    <row r="118" spans="1:17" hidden="1" x14ac:dyDescent="0.3">
      <c r="A118" s="52" t="s">
        <v>303</v>
      </c>
      <c r="B118" t="s">
        <v>21</v>
      </c>
      <c r="C118" t="s">
        <v>29</v>
      </c>
      <c r="D118" t="s">
        <v>304</v>
      </c>
      <c r="E118" t="s">
        <v>305</v>
      </c>
      <c r="F118" t="s">
        <v>306</v>
      </c>
      <c r="G118" t="s">
        <v>719</v>
      </c>
      <c r="M118" s="52"/>
      <c r="P118" s="50"/>
      <c r="Q118" s="1"/>
    </row>
    <row r="119" spans="1:17" hidden="1" x14ac:dyDescent="0.3">
      <c r="A119" s="52" t="s">
        <v>308</v>
      </c>
      <c r="B119" t="s">
        <v>28</v>
      </c>
      <c r="C119" t="s">
        <v>22</v>
      </c>
      <c r="D119" s="18" t="s">
        <v>309</v>
      </c>
      <c r="E119" s="10" t="s">
        <v>310</v>
      </c>
      <c r="F119" t="s">
        <v>92</v>
      </c>
      <c r="G119" t="s">
        <v>311</v>
      </c>
      <c r="M119" s="52"/>
    </row>
    <row r="120" spans="1:17" hidden="1" x14ac:dyDescent="0.3">
      <c r="A120" s="52" t="s">
        <v>312</v>
      </c>
      <c r="B120" t="s">
        <v>21</v>
      </c>
      <c r="C120" t="s">
        <v>22</v>
      </c>
      <c r="D120" t="s">
        <v>313</v>
      </c>
      <c r="E120" t="s">
        <v>314</v>
      </c>
      <c r="F120" t="s">
        <v>315</v>
      </c>
      <c r="G120" t="s">
        <v>86</v>
      </c>
      <c r="M120" s="52"/>
      <c r="P120" s="1"/>
      <c r="Q120" s="1"/>
    </row>
    <row r="121" spans="1:17" hidden="1" x14ac:dyDescent="0.3">
      <c r="A121" s="52" t="s">
        <v>317</v>
      </c>
      <c r="B121" t="s">
        <v>21</v>
      </c>
      <c r="C121" t="s">
        <v>22</v>
      </c>
      <c r="D121" t="s">
        <v>318</v>
      </c>
      <c r="E121" t="s">
        <v>319</v>
      </c>
      <c r="F121" t="s">
        <v>320</v>
      </c>
      <c r="G121" t="s">
        <v>699</v>
      </c>
      <c r="H121">
        <v>35</v>
      </c>
      <c r="I121">
        <v>14</v>
      </c>
      <c r="J121">
        <v>7</v>
      </c>
      <c r="L121">
        <v>3</v>
      </c>
      <c r="M121" s="6">
        <v>5</v>
      </c>
      <c r="P121" s="50"/>
      <c r="Q121" s="1"/>
    </row>
    <row r="122" spans="1:17" hidden="1" x14ac:dyDescent="0.3">
      <c r="A122" s="52" t="s">
        <v>317</v>
      </c>
      <c r="B122" t="s">
        <v>21</v>
      </c>
      <c r="C122" t="s">
        <v>22</v>
      </c>
      <c r="D122" t="s">
        <v>318</v>
      </c>
      <c r="E122" t="s">
        <v>319</v>
      </c>
      <c r="F122" t="s">
        <v>320</v>
      </c>
      <c r="G122" t="s">
        <v>714</v>
      </c>
      <c r="M122" s="52"/>
      <c r="P122" s="50"/>
      <c r="Q122" s="1"/>
    </row>
    <row r="123" spans="1:17" x14ac:dyDescent="0.3">
      <c r="A123" s="41" t="s">
        <v>783</v>
      </c>
      <c r="B123" t="s">
        <v>21</v>
      </c>
      <c r="C123" t="s">
        <v>22</v>
      </c>
      <c r="D123" s="10" t="s">
        <v>784</v>
      </c>
      <c r="E123" s="10" t="s">
        <v>785</v>
      </c>
      <c r="F123" t="s">
        <v>92</v>
      </c>
      <c r="G123" s="10" t="s">
        <v>786</v>
      </c>
      <c r="H123">
        <v>24</v>
      </c>
      <c r="I123">
        <v>12</v>
      </c>
      <c r="J123">
        <v>4</v>
      </c>
      <c r="K123">
        <v>3</v>
      </c>
      <c r="M123" s="6">
        <v>4</v>
      </c>
      <c r="P123" s="50"/>
      <c r="Q123" s="1"/>
    </row>
    <row r="124" spans="1:17" hidden="1" x14ac:dyDescent="0.3">
      <c r="A124" s="52" t="s">
        <v>322</v>
      </c>
      <c r="B124" t="s">
        <v>21</v>
      </c>
      <c r="D124" s="10" t="s">
        <v>323</v>
      </c>
      <c r="E124" s="10" t="s">
        <v>324</v>
      </c>
      <c r="F124" t="s">
        <v>32</v>
      </c>
      <c r="G124" t="s">
        <v>226</v>
      </c>
      <c r="M124" s="52"/>
    </row>
    <row r="125" spans="1:17" hidden="1" x14ac:dyDescent="0.3">
      <c r="A125" s="52" t="s">
        <v>322</v>
      </c>
      <c r="B125" t="s">
        <v>21</v>
      </c>
      <c r="D125" s="10" t="s">
        <v>323</v>
      </c>
      <c r="E125" s="10" t="s">
        <v>324</v>
      </c>
      <c r="F125" t="s">
        <v>32</v>
      </c>
      <c r="G125" t="s">
        <v>86</v>
      </c>
      <c r="M125" s="52"/>
    </row>
    <row r="126" spans="1:17" hidden="1" x14ac:dyDescent="0.3">
      <c r="A126" s="52" t="s">
        <v>325</v>
      </c>
      <c r="B126" t="s">
        <v>21</v>
      </c>
      <c r="C126" t="s">
        <v>29</v>
      </c>
      <c r="D126" s="43" t="s">
        <v>326</v>
      </c>
      <c r="E126" t="s">
        <v>327</v>
      </c>
      <c r="F126" t="s">
        <v>328</v>
      </c>
      <c r="G126" t="s">
        <v>329</v>
      </c>
      <c r="M126" s="52"/>
    </row>
    <row r="127" spans="1:17" hidden="1" x14ac:dyDescent="0.3">
      <c r="A127" s="52" t="s">
        <v>330</v>
      </c>
      <c r="B127" t="s">
        <v>53</v>
      </c>
      <c r="C127" t="s">
        <v>29</v>
      </c>
      <c r="D127" t="s">
        <v>331</v>
      </c>
      <c r="E127" t="s">
        <v>332</v>
      </c>
      <c r="F127" t="s">
        <v>56</v>
      </c>
      <c r="G127" t="s">
        <v>262</v>
      </c>
      <c r="M127" s="52"/>
      <c r="P127" s="51"/>
      <c r="Q127" s="51"/>
    </row>
    <row r="128" spans="1:17" hidden="1" x14ac:dyDescent="0.3">
      <c r="A128" s="52" t="s">
        <v>330</v>
      </c>
      <c r="B128" t="s">
        <v>53</v>
      </c>
      <c r="C128" t="s">
        <v>29</v>
      </c>
      <c r="D128" t="s">
        <v>331</v>
      </c>
      <c r="E128" t="s">
        <v>332</v>
      </c>
      <c r="F128" t="s">
        <v>56</v>
      </c>
      <c r="G128" t="s">
        <v>333</v>
      </c>
      <c r="M128" s="52"/>
      <c r="P128" s="51"/>
      <c r="Q128" s="51"/>
    </row>
    <row r="129" spans="1:17" hidden="1" x14ac:dyDescent="0.3">
      <c r="A129" s="52" t="s">
        <v>330</v>
      </c>
      <c r="B129" t="s">
        <v>53</v>
      </c>
      <c r="C129" t="s">
        <v>29</v>
      </c>
      <c r="D129" t="s">
        <v>331</v>
      </c>
      <c r="E129" t="s">
        <v>332</v>
      </c>
      <c r="F129" t="s">
        <v>56</v>
      </c>
      <c r="G129" t="s">
        <v>334</v>
      </c>
      <c r="M129" s="52"/>
      <c r="P129" s="51"/>
      <c r="Q129" s="51"/>
    </row>
    <row r="130" spans="1:17" hidden="1" x14ac:dyDescent="0.3">
      <c r="A130" s="52" t="s">
        <v>330</v>
      </c>
      <c r="B130" t="s">
        <v>53</v>
      </c>
      <c r="C130" t="s">
        <v>29</v>
      </c>
      <c r="D130" t="s">
        <v>331</v>
      </c>
      <c r="E130" t="s">
        <v>332</v>
      </c>
      <c r="F130" t="s">
        <v>56</v>
      </c>
      <c r="G130" t="s">
        <v>335</v>
      </c>
      <c r="M130" s="52"/>
      <c r="P130" s="51"/>
      <c r="Q130" s="1"/>
    </row>
    <row r="131" spans="1:17" hidden="1" x14ac:dyDescent="0.3">
      <c r="A131" s="52" t="s">
        <v>330</v>
      </c>
      <c r="B131" t="s">
        <v>53</v>
      </c>
      <c r="C131" t="s">
        <v>29</v>
      </c>
      <c r="D131" t="s">
        <v>331</v>
      </c>
      <c r="E131" t="s">
        <v>332</v>
      </c>
      <c r="F131" t="s">
        <v>56</v>
      </c>
      <c r="G131" t="s">
        <v>268</v>
      </c>
      <c r="M131" s="52"/>
      <c r="P131" s="51"/>
      <c r="Q131" s="1"/>
    </row>
    <row r="132" spans="1:17" hidden="1" x14ac:dyDescent="0.3">
      <c r="A132" s="52" t="s">
        <v>330</v>
      </c>
      <c r="B132" t="s">
        <v>53</v>
      </c>
      <c r="C132" t="s">
        <v>29</v>
      </c>
      <c r="D132" t="s">
        <v>331</v>
      </c>
      <c r="E132" t="s">
        <v>332</v>
      </c>
      <c r="F132" t="s">
        <v>56</v>
      </c>
      <c r="G132" t="s">
        <v>519</v>
      </c>
      <c r="M132" s="52"/>
      <c r="P132" s="51"/>
      <c r="Q132" s="1"/>
    </row>
    <row r="133" spans="1:17" hidden="1" x14ac:dyDescent="0.3">
      <c r="A133" s="52" t="s">
        <v>337</v>
      </c>
      <c r="B133" t="s">
        <v>21</v>
      </c>
      <c r="C133" t="s">
        <v>22</v>
      </c>
      <c r="D133" s="18" t="s">
        <v>338</v>
      </c>
      <c r="E133" s="10">
        <v>7316085780</v>
      </c>
      <c r="F133" t="s">
        <v>211</v>
      </c>
      <c r="G133" t="s">
        <v>339</v>
      </c>
      <c r="M133" s="52"/>
      <c r="P133" s="50"/>
      <c r="Q133" s="1"/>
    </row>
    <row r="134" spans="1:17" x14ac:dyDescent="0.3">
      <c r="A134" s="41" t="s">
        <v>340</v>
      </c>
      <c r="B134" t="s">
        <v>21</v>
      </c>
      <c r="C134" t="s">
        <v>29</v>
      </c>
      <c r="D134" s="18" t="s">
        <v>341</v>
      </c>
      <c r="E134" s="10"/>
      <c r="F134" t="s">
        <v>25</v>
      </c>
      <c r="G134" t="s">
        <v>782</v>
      </c>
      <c r="H134">
        <v>20</v>
      </c>
      <c r="M134" s="6">
        <v>2</v>
      </c>
    </row>
    <row r="135" spans="1:17" hidden="1" x14ac:dyDescent="0.3">
      <c r="A135" s="52" t="s">
        <v>342</v>
      </c>
      <c r="B135" t="s">
        <v>53</v>
      </c>
      <c r="C135" t="s">
        <v>29</v>
      </c>
      <c r="D135" s="18" t="s">
        <v>343</v>
      </c>
      <c r="E135" s="10" t="s">
        <v>344</v>
      </c>
      <c r="F135" t="s">
        <v>56</v>
      </c>
      <c r="G135" t="s">
        <v>321</v>
      </c>
      <c r="M135" s="52"/>
      <c r="P135" s="50"/>
      <c r="Q135" s="51"/>
    </row>
    <row r="136" spans="1:17" hidden="1" x14ac:dyDescent="0.3">
      <c r="A136" s="52" t="s">
        <v>345</v>
      </c>
      <c r="B136" t="s">
        <v>53</v>
      </c>
      <c r="C136" t="s">
        <v>22</v>
      </c>
      <c r="D136" t="s">
        <v>346</v>
      </c>
      <c r="E136" t="s">
        <v>347</v>
      </c>
      <c r="F136" t="s">
        <v>56</v>
      </c>
      <c r="G136" t="s">
        <v>348</v>
      </c>
      <c r="M136" s="52"/>
      <c r="P136" s="50"/>
      <c r="Q136" s="1"/>
    </row>
    <row r="137" spans="1:17" x14ac:dyDescent="0.3">
      <c r="A137" s="41" t="s">
        <v>349</v>
      </c>
      <c r="B137" t="s">
        <v>21</v>
      </c>
      <c r="C137" t="s">
        <v>29</v>
      </c>
      <c r="D137" t="s">
        <v>350</v>
      </c>
      <c r="E137" t="s">
        <v>351</v>
      </c>
      <c r="F137" t="s">
        <v>92</v>
      </c>
      <c r="G137" t="s">
        <v>254</v>
      </c>
      <c r="H137">
        <v>50</v>
      </c>
      <c r="I137">
        <v>24</v>
      </c>
      <c r="J137">
        <v>10</v>
      </c>
      <c r="K137">
        <v>12</v>
      </c>
      <c r="L137">
        <v>1</v>
      </c>
      <c r="M137" s="6">
        <v>3</v>
      </c>
      <c r="P137" s="50"/>
      <c r="Q137" s="1"/>
    </row>
    <row r="138" spans="1:17" hidden="1" x14ac:dyDescent="0.3">
      <c r="A138" s="52" t="s">
        <v>349</v>
      </c>
      <c r="B138" t="s">
        <v>21</v>
      </c>
      <c r="C138" t="s">
        <v>29</v>
      </c>
      <c r="D138" t="s">
        <v>350</v>
      </c>
      <c r="E138" t="s">
        <v>351</v>
      </c>
      <c r="F138" t="s">
        <v>92</v>
      </c>
      <c r="G138" t="s">
        <v>353</v>
      </c>
      <c r="M138" s="52"/>
      <c r="Q138" s="1"/>
    </row>
    <row r="139" spans="1:17" x14ac:dyDescent="0.3">
      <c r="A139" s="41" t="s">
        <v>349</v>
      </c>
      <c r="B139" t="s">
        <v>21</v>
      </c>
      <c r="C139" t="s">
        <v>29</v>
      </c>
      <c r="D139" t="s">
        <v>350</v>
      </c>
      <c r="E139" t="s">
        <v>351</v>
      </c>
      <c r="F139" t="s">
        <v>92</v>
      </c>
      <c r="G139" t="s">
        <v>352</v>
      </c>
      <c r="H139">
        <v>50</v>
      </c>
      <c r="I139">
        <v>18</v>
      </c>
      <c r="J139">
        <v>8</v>
      </c>
      <c r="K139">
        <v>6</v>
      </c>
      <c r="L139">
        <v>2</v>
      </c>
      <c r="M139" s="3">
        <v>7</v>
      </c>
      <c r="P139" s="50"/>
      <c r="Q139" s="1"/>
    </row>
    <row r="140" spans="1:17" hidden="1" x14ac:dyDescent="0.3">
      <c r="A140" s="52" t="s">
        <v>349</v>
      </c>
      <c r="B140" t="s">
        <v>21</v>
      </c>
      <c r="C140" t="s">
        <v>29</v>
      </c>
      <c r="D140" t="s">
        <v>350</v>
      </c>
      <c r="E140" t="s">
        <v>351</v>
      </c>
      <c r="F140" t="s">
        <v>92</v>
      </c>
      <c r="G140" t="s">
        <v>354</v>
      </c>
      <c r="M140" s="52"/>
      <c r="Q140" s="1"/>
    </row>
    <row r="141" spans="1:17" hidden="1" x14ac:dyDescent="0.3">
      <c r="A141" s="52" t="s">
        <v>349</v>
      </c>
      <c r="B141" t="s">
        <v>21</v>
      </c>
      <c r="C141" t="s">
        <v>29</v>
      </c>
      <c r="D141" t="s">
        <v>350</v>
      </c>
      <c r="E141" t="s">
        <v>351</v>
      </c>
      <c r="F141" t="s">
        <v>92</v>
      </c>
      <c r="G141" t="s">
        <v>86</v>
      </c>
      <c r="M141" s="52"/>
      <c r="Q141" s="1"/>
    </row>
    <row r="142" spans="1:17" hidden="1" x14ac:dyDescent="0.3">
      <c r="A142" s="52" t="s">
        <v>355</v>
      </c>
      <c r="B142" t="s">
        <v>53</v>
      </c>
      <c r="C142" t="s">
        <v>29</v>
      </c>
      <c r="D142" t="s">
        <v>356</v>
      </c>
      <c r="E142" t="s">
        <v>357</v>
      </c>
      <c r="F142" t="s">
        <v>56</v>
      </c>
      <c r="G142" t="s">
        <v>358</v>
      </c>
      <c r="M142" s="52"/>
      <c r="Q142" s="1"/>
    </row>
    <row r="143" spans="1:17" hidden="1" x14ac:dyDescent="0.3">
      <c r="A143" s="52" t="s">
        <v>359</v>
      </c>
      <c r="B143" t="s">
        <v>21</v>
      </c>
      <c r="C143" t="s">
        <v>22</v>
      </c>
      <c r="D143" t="s">
        <v>360</v>
      </c>
      <c r="E143" t="s">
        <v>361</v>
      </c>
      <c r="F143" t="s">
        <v>142</v>
      </c>
      <c r="G143" t="s">
        <v>362</v>
      </c>
      <c r="M143" s="52"/>
      <c r="Q143" s="1"/>
    </row>
    <row r="144" spans="1:17" hidden="1" x14ac:dyDescent="0.3">
      <c r="A144" s="52" t="s">
        <v>363</v>
      </c>
      <c r="B144" t="s">
        <v>28</v>
      </c>
      <c r="C144" t="s">
        <v>22</v>
      </c>
      <c r="D144" t="s">
        <v>364</v>
      </c>
      <c r="E144" t="s">
        <v>365</v>
      </c>
      <c r="F144" t="s">
        <v>92</v>
      </c>
      <c r="G144" t="s">
        <v>366</v>
      </c>
      <c r="M144" s="52"/>
      <c r="Q144" s="1"/>
    </row>
    <row r="145" spans="1:17" hidden="1" x14ac:dyDescent="0.3">
      <c r="A145" s="52" t="s">
        <v>367</v>
      </c>
      <c r="B145" t="s">
        <v>53</v>
      </c>
      <c r="C145" t="s">
        <v>29</v>
      </c>
      <c r="D145" t="s">
        <v>368</v>
      </c>
      <c r="E145" t="s">
        <v>369</v>
      </c>
      <c r="F145" t="s">
        <v>56</v>
      </c>
      <c r="G145" t="s">
        <v>370</v>
      </c>
      <c r="M145" s="52"/>
      <c r="P145" s="50"/>
      <c r="Q145" s="1"/>
    </row>
    <row r="146" spans="1:17" hidden="1" x14ac:dyDescent="0.3">
      <c r="A146" s="52" t="s">
        <v>761</v>
      </c>
      <c r="B146" t="s">
        <v>53</v>
      </c>
      <c r="G146" t="s">
        <v>116</v>
      </c>
      <c r="M146" s="52"/>
      <c r="P146" s="50"/>
      <c r="Q146" s="1"/>
    </row>
    <row r="147" spans="1:17" hidden="1" x14ac:dyDescent="0.3">
      <c r="A147" s="52" t="s">
        <v>761</v>
      </c>
      <c r="B147" t="s">
        <v>53</v>
      </c>
      <c r="G147" t="s">
        <v>762</v>
      </c>
      <c r="M147" s="52"/>
    </row>
    <row r="148" spans="1:17" x14ac:dyDescent="0.3">
      <c r="A148" s="41" t="s">
        <v>371</v>
      </c>
      <c r="B148" t="s">
        <v>21</v>
      </c>
      <c r="C148" t="s">
        <v>22</v>
      </c>
      <c r="D148" t="s">
        <v>372</v>
      </c>
      <c r="E148" t="s">
        <v>373</v>
      </c>
      <c r="F148" t="s">
        <v>374</v>
      </c>
      <c r="G148" t="s">
        <v>192</v>
      </c>
      <c r="H148">
        <v>50</v>
      </c>
      <c r="M148" s="3">
        <v>8.5</v>
      </c>
      <c r="Q148" s="1"/>
    </row>
    <row r="149" spans="1:17" x14ac:dyDescent="0.3">
      <c r="A149" s="41" t="s">
        <v>375</v>
      </c>
      <c r="B149" t="s">
        <v>21</v>
      </c>
      <c r="C149" t="s">
        <v>22</v>
      </c>
      <c r="D149" t="s">
        <v>376</v>
      </c>
      <c r="E149" t="s">
        <v>377</v>
      </c>
      <c r="F149" t="s">
        <v>137</v>
      </c>
      <c r="G149" t="s">
        <v>763</v>
      </c>
      <c r="H149">
        <v>84</v>
      </c>
      <c r="I149">
        <v>29</v>
      </c>
      <c r="J149">
        <v>14</v>
      </c>
      <c r="K149">
        <v>29</v>
      </c>
      <c r="L149">
        <v>4</v>
      </c>
      <c r="M149" s="6">
        <v>5</v>
      </c>
      <c r="Q149" s="1"/>
    </row>
    <row r="150" spans="1:17" hidden="1" x14ac:dyDescent="0.3">
      <c r="A150" s="52" t="s">
        <v>375</v>
      </c>
      <c r="B150" t="s">
        <v>21</v>
      </c>
      <c r="C150" t="s">
        <v>22</v>
      </c>
      <c r="D150" t="s">
        <v>376</v>
      </c>
      <c r="E150" t="s">
        <v>377</v>
      </c>
      <c r="F150" t="s">
        <v>137</v>
      </c>
      <c r="G150" t="s">
        <v>379</v>
      </c>
      <c r="M150" s="52"/>
      <c r="Q150" s="1"/>
    </row>
    <row r="151" spans="1:17" hidden="1" x14ac:dyDescent="0.3">
      <c r="A151" s="53" t="s">
        <v>375</v>
      </c>
      <c r="B151" t="s">
        <v>21</v>
      </c>
      <c r="C151" t="s">
        <v>22</v>
      </c>
      <c r="D151" t="s">
        <v>376</v>
      </c>
      <c r="E151" t="s">
        <v>377</v>
      </c>
      <c r="F151" t="s">
        <v>137</v>
      </c>
      <c r="G151" t="s">
        <v>380</v>
      </c>
      <c r="M151" s="52"/>
      <c r="Q151" s="1"/>
    </row>
    <row r="152" spans="1:17" hidden="1" x14ac:dyDescent="0.3">
      <c r="A152" s="53" t="s">
        <v>381</v>
      </c>
      <c r="B152" t="s">
        <v>21</v>
      </c>
      <c r="C152" t="s">
        <v>22</v>
      </c>
      <c r="D152" t="s">
        <v>382</v>
      </c>
      <c r="E152" t="s">
        <v>383</v>
      </c>
      <c r="F152" t="s">
        <v>142</v>
      </c>
      <c r="G152" t="s">
        <v>225</v>
      </c>
      <c r="M152" s="52"/>
      <c r="Q152" s="1"/>
    </row>
    <row r="153" spans="1:17" x14ac:dyDescent="0.3">
      <c r="A153" s="41" t="s">
        <v>747</v>
      </c>
      <c r="G153" t="s">
        <v>353</v>
      </c>
      <c r="H153">
        <v>27</v>
      </c>
      <c r="M153" s="6">
        <v>5.5</v>
      </c>
      <c r="P153" s="50"/>
      <c r="Q153" s="1"/>
    </row>
    <row r="154" spans="1:17" hidden="1" x14ac:dyDescent="0.3">
      <c r="A154" s="52" t="s">
        <v>384</v>
      </c>
      <c r="B154" t="s">
        <v>53</v>
      </c>
      <c r="C154" t="s">
        <v>22</v>
      </c>
      <c r="D154" t="s">
        <v>385</v>
      </c>
      <c r="E154" t="s">
        <v>386</v>
      </c>
      <c r="F154" t="s">
        <v>56</v>
      </c>
      <c r="G154" t="s">
        <v>387</v>
      </c>
      <c r="M154" s="52"/>
      <c r="P154" s="50"/>
      <c r="Q154" s="1"/>
    </row>
    <row r="155" spans="1:17" hidden="1" x14ac:dyDescent="0.3">
      <c r="A155" s="52" t="s">
        <v>388</v>
      </c>
      <c r="B155" t="s">
        <v>21</v>
      </c>
      <c r="C155" t="s">
        <v>29</v>
      </c>
      <c r="D155" t="s">
        <v>389</v>
      </c>
      <c r="E155" t="s">
        <v>390</v>
      </c>
      <c r="F155" t="s">
        <v>266</v>
      </c>
      <c r="G155" t="s">
        <v>73</v>
      </c>
      <c r="M155" s="52"/>
      <c r="Q155" s="1"/>
    </row>
    <row r="156" spans="1:17" hidden="1" x14ac:dyDescent="0.3">
      <c r="A156" s="52" t="s">
        <v>388</v>
      </c>
      <c r="B156" t="s">
        <v>21</v>
      </c>
      <c r="C156" t="s">
        <v>29</v>
      </c>
      <c r="D156" t="s">
        <v>389</v>
      </c>
      <c r="E156" t="s">
        <v>390</v>
      </c>
      <c r="F156" t="s">
        <v>266</v>
      </c>
      <c r="G156" t="s">
        <v>226</v>
      </c>
      <c r="M156" s="52"/>
      <c r="P156" s="50"/>
      <c r="Q156" s="1"/>
    </row>
    <row r="157" spans="1:17" hidden="1" x14ac:dyDescent="0.3">
      <c r="A157" s="52" t="s">
        <v>388</v>
      </c>
      <c r="B157" t="s">
        <v>21</v>
      </c>
      <c r="C157" t="s">
        <v>29</v>
      </c>
      <c r="D157" t="s">
        <v>389</v>
      </c>
      <c r="E157" t="s">
        <v>390</v>
      </c>
      <c r="F157" t="s">
        <v>266</v>
      </c>
      <c r="G157" t="s">
        <v>227</v>
      </c>
      <c r="M157" s="52"/>
      <c r="P157" s="50"/>
      <c r="Q157" s="1"/>
    </row>
    <row r="158" spans="1:17" hidden="1" x14ac:dyDescent="0.3">
      <c r="A158" s="52" t="s">
        <v>392</v>
      </c>
      <c r="B158" t="s">
        <v>21</v>
      </c>
      <c r="D158" s="18" t="s">
        <v>393</v>
      </c>
      <c r="E158" s="10" t="s">
        <v>394</v>
      </c>
      <c r="F158" t="s">
        <v>32</v>
      </c>
      <c r="G158" t="s">
        <v>395</v>
      </c>
      <c r="M158" s="52"/>
    </row>
    <row r="159" spans="1:17" hidden="1" x14ac:dyDescent="0.3">
      <c r="A159" s="54" t="s">
        <v>396</v>
      </c>
      <c r="B159" t="s">
        <v>28</v>
      </c>
      <c r="C159" t="s">
        <v>22</v>
      </c>
      <c r="D159" s="18" t="s">
        <v>397</v>
      </c>
      <c r="E159" s="10" t="s">
        <v>398</v>
      </c>
      <c r="F159" t="s">
        <v>279</v>
      </c>
      <c r="G159" t="s">
        <v>399</v>
      </c>
      <c r="M159" s="52"/>
      <c r="P159" s="50"/>
      <c r="Q159" s="1"/>
    </row>
    <row r="160" spans="1:17" hidden="1" x14ac:dyDescent="0.3">
      <c r="A160" s="54" t="s">
        <v>396</v>
      </c>
      <c r="B160" t="s">
        <v>28</v>
      </c>
      <c r="C160" t="s">
        <v>22</v>
      </c>
      <c r="D160" s="18" t="s">
        <v>397</v>
      </c>
      <c r="E160" s="10" t="s">
        <v>398</v>
      </c>
      <c r="F160" t="s">
        <v>279</v>
      </c>
      <c r="G160" t="s">
        <v>400</v>
      </c>
      <c r="M160" s="52"/>
      <c r="P160" s="50"/>
      <c r="Q160" s="1"/>
    </row>
    <row r="161" spans="1:17" hidden="1" x14ac:dyDescent="0.3">
      <c r="A161" s="54" t="s">
        <v>396</v>
      </c>
      <c r="B161" t="s">
        <v>28</v>
      </c>
      <c r="C161" t="s">
        <v>22</v>
      </c>
      <c r="D161" s="18" t="s">
        <v>397</v>
      </c>
      <c r="E161" s="10" t="s">
        <v>398</v>
      </c>
      <c r="F161" t="s">
        <v>279</v>
      </c>
      <c r="G161" t="s">
        <v>400</v>
      </c>
      <c r="M161" s="52"/>
    </row>
    <row r="162" spans="1:17" hidden="1" x14ac:dyDescent="0.3">
      <c r="A162" s="54" t="s">
        <v>512</v>
      </c>
      <c r="B162" t="s">
        <v>21</v>
      </c>
      <c r="C162" t="s">
        <v>22</v>
      </c>
      <c r="D162" s="18" t="s">
        <v>710</v>
      </c>
      <c r="E162" s="10" t="s">
        <v>711</v>
      </c>
      <c r="F162" s="10" t="s">
        <v>92</v>
      </c>
      <c r="G162" s="10" t="s">
        <v>352</v>
      </c>
      <c r="M162" s="52"/>
      <c r="P162" s="50"/>
      <c r="Q162" s="1"/>
    </row>
    <row r="163" spans="1:17" hidden="1" x14ac:dyDescent="0.3">
      <c r="A163" s="53" t="s">
        <v>401</v>
      </c>
      <c r="B163" t="s">
        <v>21</v>
      </c>
      <c r="C163" t="s">
        <v>22</v>
      </c>
      <c r="D163" t="s">
        <v>402</v>
      </c>
      <c r="E163" t="s">
        <v>403</v>
      </c>
      <c r="F163" t="s">
        <v>266</v>
      </c>
      <c r="G163" t="s">
        <v>268</v>
      </c>
      <c r="M163" s="52"/>
      <c r="P163" s="50"/>
      <c r="Q163" s="1"/>
    </row>
    <row r="164" spans="1:17" hidden="1" x14ac:dyDescent="0.3">
      <c r="A164" s="54" t="s">
        <v>404</v>
      </c>
      <c r="F164" t="s">
        <v>266</v>
      </c>
      <c r="M164" s="52"/>
      <c r="Q164" s="1"/>
    </row>
    <row r="165" spans="1:17" hidden="1" x14ac:dyDescent="0.3">
      <c r="A165" s="52" t="s">
        <v>405</v>
      </c>
      <c r="B165" t="s">
        <v>21</v>
      </c>
      <c r="D165" t="s">
        <v>406</v>
      </c>
      <c r="E165" t="s">
        <v>407</v>
      </c>
      <c r="F165" t="s">
        <v>408</v>
      </c>
      <c r="G165" t="s">
        <v>410</v>
      </c>
      <c r="M165" s="52"/>
      <c r="P165" s="50"/>
      <c r="Q165" s="1"/>
    </row>
    <row r="166" spans="1:17" hidden="1" x14ac:dyDescent="0.3">
      <c r="A166" s="52" t="s">
        <v>405</v>
      </c>
      <c r="B166" t="s">
        <v>21</v>
      </c>
      <c r="D166" t="s">
        <v>406</v>
      </c>
      <c r="E166" t="s">
        <v>407</v>
      </c>
      <c r="F166" t="s">
        <v>408</v>
      </c>
      <c r="G166" t="s">
        <v>192</v>
      </c>
      <c r="M166" s="52"/>
      <c r="P166" s="50"/>
      <c r="Q166" s="1"/>
    </row>
    <row r="167" spans="1:17" hidden="1" x14ac:dyDescent="0.3">
      <c r="A167" s="52" t="s">
        <v>405</v>
      </c>
      <c r="B167" t="s">
        <v>21</v>
      </c>
      <c r="D167" t="s">
        <v>406</v>
      </c>
      <c r="E167" t="s">
        <v>407</v>
      </c>
      <c r="F167" t="s">
        <v>408</v>
      </c>
      <c r="G167" t="s">
        <v>411</v>
      </c>
      <c r="M167" s="52"/>
      <c r="P167" s="50"/>
      <c r="Q167" s="1"/>
    </row>
    <row r="168" spans="1:17" hidden="1" x14ac:dyDescent="0.3">
      <c r="A168" s="52" t="s">
        <v>405</v>
      </c>
      <c r="B168" t="s">
        <v>21</v>
      </c>
      <c r="D168" t="s">
        <v>406</v>
      </c>
      <c r="E168" t="s">
        <v>407</v>
      </c>
      <c r="F168" t="s">
        <v>408</v>
      </c>
      <c r="G168" t="s">
        <v>409</v>
      </c>
      <c r="M168" s="52"/>
      <c r="Q168" s="1"/>
    </row>
    <row r="169" spans="1:17" hidden="1" x14ac:dyDescent="0.3">
      <c r="A169" s="52" t="s">
        <v>405</v>
      </c>
      <c r="B169" t="s">
        <v>21</v>
      </c>
      <c r="D169" t="s">
        <v>406</v>
      </c>
      <c r="E169" t="s">
        <v>407</v>
      </c>
      <c r="F169" t="s">
        <v>408</v>
      </c>
      <c r="G169" t="s">
        <v>321</v>
      </c>
      <c r="M169" s="52"/>
      <c r="Q169" s="1"/>
    </row>
    <row r="170" spans="1:17" hidden="1" x14ac:dyDescent="0.3">
      <c r="A170" s="52" t="s">
        <v>405</v>
      </c>
      <c r="B170" t="s">
        <v>21</v>
      </c>
      <c r="D170" t="s">
        <v>406</v>
      </c>
      <c r="E170" t="s">
        <v>407</v>
      </c>
      <c r="F170" t="s">
        <v>408</v>
      </c>
      <c r="G170" t="s">
        <v>412</v>
      </c>
      <c r="M170" s="52"/>
      <c r="Q170" s="1"/>
    </row>
    <row r="171" spans="1:17" hidden="1" x14ac:dyDescent="0.3">
      <c r="A171" s="53" t="s">
        <v>413</v>
      </c>
      <c r="B171" t="s">
        <v>28</v>
      </c>
      <c r="D171" s="18" t="s">
        <v>414</v>
      </c>
      <c r="E171" s="10" t="s">
        <v>415</v>
      </c>
      <c r="F171" t="s">
        <v>92</v>
      </c>
      <c r="G171" t="s">
        <v>416</v>
      </c>
      <c r="M171" s="52"/>
      <c r="Q171" s="1"/>
    </row>
    <row r="172" spans="1:17" x14ac:dyDescent="0.3">
      <c r="A172" s="41" t="s">
        <v>417</v>
      </c>
      <c r="B172" t="s">
        <v>21</v>
      </c>
      <c r="C172" t="s">
        <v>22</v>
      </c>
      <c r="D172" t="s">
        <v>418</v>
      </c>
      <c r="E172" t="s">
        <v>419</v>
      </c>
      <c r="F172" t="s">
        <v>25</v>
      </c>
      <c r="G172" t="s">
        <v>769</v>
      </c>
      <c r="H172">
        <v>35</v>
      </c>
      <c r="M172" s="6">
        <v>5</v>
      </c>
      <c r="P172" s="50"/>
      <c r="Q172" s="1"/>
    </row>
    <row r="173" spans="1:17" x14ac:dyDescent="0.3">
      <c r="A173" s="41" t="s">
        <v>417</v>
      </c>
      <c r="B173" t="s">
        <v>21</v>
      </c>
      <c r="C173" t="s">
        <v>22</v>
      </c>
      <c r="D173" t="s">
        <v>418</v>
      </c>
      <c r="E173" t="s">
        <v>419</v>
      </c>
      <c r="F173" t="s">
        <v>25</v>
      </c>
      <c r="G173" t="s">
        <v>746</v>
      </c>
      <c r="H173">
        <v>20</v>
      </c>
      <c r="M173" s="3">
        <v>8</v>
      </c>
      <c r="P173" s="50"/>
      <c r="Q173" s="1"/>
    </row>
    <row r="174" spans="1:17" x14ac:dyDescent="0.3">
      <c r="A174" s="41" t="s">
        <v>421</v>
      </c>
      <c r="B174" t="s">
        <v>21</v>
      </c>
      <c r="C174" t="s">
        <v>22</v>
      </c>
      <c r="D174" s="18" t="s">
        <v>422</v>
      </c>
      <c r="E174" s="10" t="s">
        <v>423</v>
      </c>
      <c r="F174" t="s">
        <v>142</v>
      </c>
      <c r="G174" t="s">
        <v>768</v>
      </c>
      <c r="H174">
        <v>67</v>
      </c>
      <c r="I174">
        <v>25</v>
      </c>
      <c r="J174">
        <v>6</v>
      </c>
      <c r="K174">
        <v>23</v>
      </c>
      <c r="L174">
        <v>0</v>
      </c>
      <c r="M174" s="3">
        <v>8</v>
      </c>
      <c r="P174" s="50"/>
      <c r="Q174" s="1"/>
    </row>
    <row r="175" spans="1:17" hidden="1" x14ac:dyDescent="0.3">
      <c r="A175" s="52" t="s">
        <v>425</v>
      </c>
      <c r="B175" t="s">
        <v>28</v>
      </c>
      <c r="C175" t="s">
        <v>22</v>
      </c>
      <c r="D175" t="s">
        <v>426</v>
      </c>
      <c r="E175" t="s">
        <v>427</v>
      </c>
      <c r="F175" t="s">
        <v>25</v>
      </c>
      <c r="G175" t="s">
        <v>428</v>
      </c>
      <c r="M175" s="52"/>
      <c r="Q175" s="1"/>
    </row>
    <row r="176" spans="1:17" hidden="1" x14ac:dyDescent="0.3">
      <c r="A176" s="52" t="s">
        <v>429</v>
      </c>
      <c r="B176" t="s">
        <v>21</v>
      </c>
      <c r="D176" s="10"/>
      <c r="F176" t="s">
        <v>25</v>
      </c>
      <c r="G176" t="s">
        <v>430</v>
      </c>
      <c r="M176" s="52"/>
    </row>
    <row r="177" spans="1:17" hidden="1" x14ac:dyDescent="0.3">
      <c r="A177" s="52" t="s">
        <v>431</v>
      </c>
      <c r="B177" t="s">
        <v>28</v>
      </c>
      <c r="C177" t="s">
        <v>29</v>
      </c>
      <c r="D177" t="s">
        <v>432</v>
      </c>
      <c r="E177" t="s">
        <v>433</v>
      </c>
      <c r="F177" t="s">
        <v>92</v>
      </c>
      <c r="G177" t="s">
        <v>434</v>
      </c>
      <c r="M177" s="52"/>
      <c r="Q177" s="1"/>
    </row>
    <row r="178" spans="1:17" hidden="1" x14ac:dyDescent="0.3">
      <c r="A178" s="52" t="s">
        <v>435</v>
      </c>
      <c r="B178" t="s">
        <v>28</v>
      </c>
      <c r="C178" t="s">
        <v>29</v>
      </c>
      <c r="D178" s="18" t="s">
        <v>436</v>
      </c>
      <c r="E178" s="10" t="s">
        <v>437</v>
      </c>
      <c r="F178" t="s">
        <v>32</v>
      </c>
      <c r="G178" t="s">
        <v>438</v>
      </c>
      <c r="M178" s="52"/>
    </row>
    <row r="179" spans="1:17" hidden="1" x14ac:dyDescent="0.3">
      <c r="A179" s="52" t="s">
        <v>439</v>
      </c>
      <c r="B179" t="s">
        <v>21</v>
      </c>
      <c r="D179" s="18" t="s">
        <v>440</v>
      </c>
      <c r="E179" s="10" t="s">
        <v>441</v>
      </c>
      <c r="F179" t="s">
        <v>279</v>
      </c>
      <c r="G179" t="s">
        <v>442</v>
      </c>
      <c r="M179" s="52"/>
    </row>
    <row r="180" spans="1:17" hidden="1" x14ac:dyDescent="0.3">
      <c r="A180" s="52" t="s">
        <v>443</v>
      </c>
      <c r="B180" t="s">
        <v>28</v>
      </c>
      <c r="C180" t="s">
        <v>29</v>
      </c>
      <c r="D180" s="18" t="s">
        <v>444</v>
      </c>
      <c r="E180" s="10" t="s">
        <v>445</v>
      </c>
      <c r="F180" t="s">
        <v>279</v>
      </c>
      <c r="G180" t="s">
        <v>196</v>
      </c>
      <c r="M180" s="52"/>
      <c r="P180" s="50"/>
      <c r="Q180" s="1"/>
    </row>
    <row r="181" spans="1:17" hidden="1" x14ac:dyDescent="0.3">
      <c r="A181" s="52" t="s">
        <v>446</v>
      </c>
      <c r="B181" t="s">
        <v>28</v>
      </c>
      <c r="C181" t="s">
        <v>22</v>
      </c>
      <c r="D181" t="s">
        <v>451</v>
      </c>
      <c r="E181" t="s">
        <v>452</v>
      </c>
      <c r="F181" t="s">
        <v>38</v>
      </c>
      <c r="G181" t="s">
        <v>400</v>
      </c>
      <c r="M181" s="52"/>
      <c r="Q181" s="1"/>
    </row>
    <row r="182" spans="1:17" hidden="1" x14ac:dyDescent="0.3">
      <c r="A182" s="52" t="s">
        <v>446</v>
      </c>
      <c r="B182" t="s">
        <v>28</v>
      </c>
      <c r="C182" t="s">
        <v>22</v>
      </c>
      <c r="D182" t="s">
        <v>451</v>
      </c>
      <c r="E182" t="s">
        <v>452</v>
      </c>
      <c r="F182" t="s">
        <v>38</v>
      </c>
      <c r="G182" t="s">
        <v>696</v>
      </c>
      <c r="M182" s="52"/>
      <c r="Q182" s="1"/>
    </row>
    <row r="183" spans="1:17" hidden="1" x14ac:dyDescent="0.3">
      <c r="A183" s="52" t="s">
        <v>450</v>
      </c>
      <c r="B183" t="s">
        <v>21</v>
      </c>
      <c r="C183" t="s">
        <v>22</v>
      </c>
      <c r="D183" t="s">
        <v>455</v>
      </c>
      <c r="E183" t="s">
        <v>456</v>
      </c>
      <c r="F183" t="s">
        <v>142</v>
      </c>
      <c r="G183" t="s">
        <v>453</v>
      </c>
      <c r="M183" s="52"/>
      <c r="P183" s="50"/>
      <c r="Q183" s="1"/>
    </row>
    <row r="184" spans="1:17" hidden="1" x14ac:dyDescent="0.3">
      <c r="A184" s="52" t="s">
        <v>454</v>
      </c>
      <c r="B184" t="s">
        <v>21</v>
      </c>
      <c r="C184" t="s">
        <v>22</v>
      </c>
      <c r="D184" t="s">
        <v>458</v>
      </c>
      <c r="E184" t="s">
        <v>459</v>
      </c>
      <c r="F184" t="s">
        <v>25</v>
      </c>
      <c r="G184" t="s">
        <v>460</v>
      </c>
      <c r="M184" s="52"/>
      <c r="P184" s="1"/>
      <c r="Q184" s="1"/>
    </row>
    <row r="185" spans="1:17" hidden="1" x14ac:dyDescent="0.3">
      <c r="A185" s="53" t="s">
        <v>457</v>
      </c>
      <c r="B185" t="s">
        <v>21</v>
      </c>
      <c r="C185" t="s">
        <v>22</v>
      </c>
      <c r="D185" t="s">
        <v>458</v>
      </c>
      <c r="E185" t="s">
        <v>459</v>
      </c>
      <c r="F185" t="s">
        <v>25</v>
      </c>
      <c r="G185" t="s">
        <v>461</v>
      </c>
      <c r="M185" s="52"/>
      <c r="P185" s="1"/>
      <c r="Q185" s="1"/>
    </row>
    <row r="186" spans="1:17" hidden="1" x14ac:dyDescent="0.3">
      <c r="A186" s="52" t="s">
        <v>457</v>
      </c>
      <c r="B186" t="s">
        <v>21</v>
      </c>
      <c r="C186" t="s">
        <v>22</v>
      </c>
      <c r="D186" t="s">
        <v>458</v>
      </c>
      <c r="E186" t="s">
        <v>459</v>
      </c>
      <c r="F186" t="s">
        <v>25</v>
      </c>
      <c r="G186" t="s">
        <v>461</v>
      </c>
      <c r="M186" s="52"/>
      <c r="P186" s="1"/>
      <c r="Q186" s="1"/>
    </row>
    <row r="187" spans="1:17" hidden="1" x14ac:dyDescent="0.3">
      <c r="A187" s="52" t="s">
        <v>457</v>
      </c>
      <c r="B187" t="s">
        <v>21</v>
      </c>
      <c r="C187" t="s">
        <v>22</v>
      </c>
      <c r="D187" t="s">
        <v>458</v>
      </c>
      <c r="E187" t="s">
        <v>459</v>
      </c>
      <c r="F187" t="s">
        <v>25</v>
      </c>
      <c r="G187" t="s">
        <v>462</v>
      </c>
      <c r="M187" s="52"/>
      <c r="P187" s="1"/>
      <c r="Q187" s="1"/>
    </row>
    <row r="188" spans="1:17" hidden="1" x14ac:dyDescent="0.3">
      <c r="A188" s="52" t="s">
        <v>457</v>
      </c>
      <c r="B188" t="s">
        <v>28</v>
      </c>
      <c r="C188" t="s">
        <v>29</v>
      </c>
      <c r="D188" s="18" t="s">
        <v>464</v>
      </c>
      <c r="E188" s="10" t="s">
        <v>465</v>
      </c>
      <c r="F188" t="s">
        <v>92</v>
      </c>
      <c r="G188" t="s">
        <v>466</v>
      </c>
      <c r="M188" s="52"/>
    </row>
    <row r="189" spans="1:17" hidden="1" x14ac:dyDescent="0.3">
      <c r="A189" s="52" t="s">
        <v>760</v>
      </c>
      <c r="M189" s="52"/>
    </row>
    <row r="190" spans="1:17" hidden="1" x14ac:dyDescent="0.3">
      <c r="A190" s="52" t="s">
        <v>742</v>
      </c>
      <c r="B190" t="s">
        <v>28</v>
      </c>
      <c r="E190" s="10" t="s">
        <v>743</v>
      </c>
      <c r="F190" t="s">
        <v>32</v>
      </c>
      <c r="G190" t="s">
        <v>744</v>
      </c>
      <c r="M190" s="52"/>
    </row>
    <row r="191" spans="1:17" x14ac:dyDescent="0.3">
      <c r="A191" s="41" t="s">
        <v>687</v>
      </c>
      <c r="B191" t="s">
        <v>21</v>
      </c>
      <c r="D191" s="10" t="s">
        <v>693</v>
      </c>
      <c r="E191" s="10" t="s">
        <v>692</v>
      </c>
      <c r="F191" t="s">
        <v>43</v>
      </c>
      <c r="G191" t="s">
        <v>192</v>
      </c>
      <c r="H191">
        <v>25</v>
      </c>
      <c r="I191">
        <v>10</v>
      </c>
      <c r="J191">
        <v>3</v>
      </c>
      <c r="L191">
        <v>3</v>
      </c>
      <c r="M191" s="3">
        <v>8.5</v>
      </c>
      <c r="P191" s="50"/>
      <c r="Q191" s="51"/>
    </row>
    <row r="192" spans="1:17" hidden="1" x14ac:dyDescent="0.3">
      <c r="A192" s="52" t="s">
        <v>463</v>
      </c>
      <c r="M192" s="52"/>
    </row>
    <row r="193" spans="1:17" hidden="1" x14ac:dyDescent="0.3">
      <c r="A193" s="52" t="s">
        <v>467</v>
      </c>
      <c r="B193" t="s">
        <v>53</v>
      </c>
      <c r="C193" t="s">
        <v>29</v>
      </c>
      <c r="D193" t="s">
        <v>468</v>
      </c>
      <c r="E193" t="s">
        <v>469</v>
      </c>
      <c r="F193" t="s">
        <v>56</v>
      </c>
      <c r="G193" t="s">
        <v>470</v>
      </c>
      <c r="M193" s="52"/>
      <c r="P193" s="50"/>
      <c r="Q193" s="1"/>
    </row>
    <row r="194" spans="1:17" hidden="1" x14ac:dyDescent="0.3">
      <c r="A194" s="54" t="s">
        <v>691</v>
      </c>
      <c r="B194" t="s">
        <v>21</v>
      </c>
      <c r="D194" s="10" t="s">
        <v>693</v>
      </c>
      <c r="E194" s="10" t="s">
        <v>692</v>
      </c>
      <c r="F194" s="10" t="s">
        <v>43</v>
      </c>
      <c r="G194" s="10" t="s">
        <v>26</v>
      </c>
      <c r="M194" s="52"/>
      <c r="P194" s="50"/>
      <c r="Q194" s="1"/>
    </row>
    <row r="195" spans="1:17" x14ac:dyDescent="0.3">
      <c r="A195" s="41" t="s">
        <v>471</v>
      </c>
      <c r="C195" t="s">
        <v>22</v>
      </c>
      <c r="D195" t="s">
        <v>475</v>
      </c>
      <c r="E195" t="s">
        <v>476</v>
      </c>
      <c r="F195" t="s">
        <v>477</v>
      </c>
      <c r="G195" t="s">
        <v>735</v>
      </c>
      <c r="H195">
        <v>21</v>
      </c>
      <c r="I195">
        <v>7</v>
      </c>
      <c r="J195">
        <v>3</v>
      </c>
      <c r="K195">
        <v>4</v>
      </c>
      <c r="L195">
        <v>0</v>
      </c>
      <c r="M195" s="6">
        <v>5</v>
      </c>
      <c r="P195" s="50"/>
      <c r="Q195" s="1"/>
    </row>
    <row r="196" spans="1:17" hidden="1" x14ac:dyDescent="0.3">
      <c r="A196" s="52" t="s">
        <v>474</v>
      </c>
      <c r="B196" t="s">
        <v>21</v>
      </c>
      <c r="C196" t="s">
        <v>29</v>
      </c>
      <c r="D196" t="s">
        <v>480</v>
      </c>
      <c r="E196" t="s">
        <v>481</v>
      </c>
      <c r="F196" t="s">
        <v>482</v>
      </c>
      <c r="G196" t="s">
        <v>409</v>
      </c>
      <c r="M196" s="52"/>
      <c r="Q196" s="1"/>
    </row>
    <row r="197" spans="1:17" hidden="1" x14ac:dyDescent="0.3">
      <c r="A197" s="52" t="s">
        <v>479</v>
      </c>
      <c r="B197" t="s">
        <v>21</v>
      </c>
      <c r="C197" t="s">
        <v>29</v>
      </c>
      <c r="D197" t="s">
        <v>480</v>
      </c>
      <c r="E197" t="s">
        <v>481</v>
      </c>
      <c r="F197" t="s">
        <v>482</v>
      </c>
      <c r="G197" t="s">
        <v>409</v>
      </c>
      <c r="H197">
        <v>49</v>
      </c>
      <c r="I197">
        <v>18</v>
      </c>
      <c r="J197">
        <v>8</v>
      </c>
      <c r="L197">
        <v>2</v>
      </c>
      <c r="M197" s="52"/>
      <c r="P197" s="50"/>
      <c r="Q197" s="1"/>
    </row>
    <row r="198" spans="1:17" x14ac:dyDescent="0.3">
      <c r="A198" s="41" t="s">
        <v>479</v>
      </c>
      <c r="B198" t="s">
        <v>21</v>
      </c>
      <c r="C198" t="s">
        <v>29</v>
      </c>
      <c r="D198" t="s">
        <v>480</v>
      </c>
      <c r="E198" t="s">
        <v>481</v>
      </c>
      <c r="F198" t="s">
        <v>482</v>
      </c>
      <c r="G198" t="s">
        <v>353</v>
      </c>
      <c r="H198">
        <v>30</v>
      </c>
      <c r="I198">
        <v>12</v>
      </c>
      <c r="J198">
        <v>4</v>
      </c>
      <c r="L198">
        <v>1</v>
      </c>
      <c r="M198" s="6">
        <v>5.5</v>
      </c>
      <c r="Q198" s="1"/>
    </row>
    <row r="199" spans="1:17" hidden="1" x14ac:dyDescent="0.3">
      <c r="A199" s="52" t="s">
        <v>479</v>
      </c>
      <c r="B199" t="s">
        <v>53</v>
      </c>
      <c r="D199" t="s">
        <v>485</v>
      </c>
      <c r="E199" t="s">
        <v>486</v>
      </c>
      <c r="F199" t="s">
        <v>56</v>
      </c>
      <c r="G199" t="s">
        <v>487</v>
      </c>
      <c r="Q199" s="1"/>
    </row>
    <row r="200" spans="1:17" hidden="1" x14ac:dyDescent="0.3">
      <c r="A200" s="52" t="s">
        <v>484</v>
      </c>
      <c r="B200" t="s">
        <v>28</v>
      </c>
      <c r="C200" t="s">
        <v>29</v>
      </c>
      <c r="D200" t="s">
        <v>489</v>
      </c>
      <c r="E200" t="s">
        <v>490</v>
      </c>
      <c r="F200" t="s">
        <v>155</v>
      </c>
      <c r="G200" t="s">
        <v>491</v>
      </c>
      <c r="Q200" s="1"/>
    </row>
    <row r="201" spans="1:17" hidden="1" x14ac:dyDescent="0.3">
      <c r="A201" s="52" t="s">
        <v>488</v>
      </c>
      <c r="B201" t="s">
        <v>28</v>
      </c>
      <c r="C201" t="s">
        <v>29</v>
      </c>
      <c r="D201" t="s">
        <v>489</v>
      </c>
      <c r="E201" t="s">
        <v>490</v>
      </c>
      <c r="F201" t="s">
        <v>155</v>
      </c>
      <c r="G201" t="s">
        <v>734</v>
      </c>
      <c r="Q201" s="1"/>
    </row>
    <row r="202" spans="1:17" hidden="1" x14ac:dyDescent="0.3">
      <c r="A202" s="52" t="s">
        <v>488</v>
      </c>
      <c r="B202" t="s">
        <v>28</v>
      </c>
      <c r="C202" t="s">
        <v>29</v>
      </c>
      <c r="D202" t="s">
        <v>489</v>
      </c>
      <c r="E202" t="s">
        <v>490</v>
      </c>
      <c r="F202" t="s">
        <v>155</v>
      </c>
      <c r="G202" t="s">
        <v>492</v>
      </c>
      <c r="Q202" s="1"/>
    </row>
    <row r="203" spans="1:17" hidden="1" x14ac:dyDescent="0.3">
      <c r="A203" s="52" t="s">
        <v>488</v>
      </c>
      <c r="B203" t="s">
        <v>21</v>
      </c>
      <c r="C203" t="s">
        <v>22</v>
      </c>
      <c r="D203" s="18" t="s">
        <v>494</v>
      </c>
      <c r="E203" s="10" t="s">
        <v>495</v>
      </c>
      <c r="F203" t="s">
        <v>25</v>
      </c>
      <c r="G203" t="s">
        <v>496</v>
      </c>
    </row>
    <row r="204" spans="1:17" hidden="1" x14ac:dyDescent="0.3">
      <c r="A204" s="52" t="s">
        <v>754</v>
      </c>
      <c r="H204">
        <v>160</v>
      </c>
      <c r="I204">
        <v>60</v>
      </c>
      <c r="J204">
        <v>20</v>
      </c>
      <c r="L204">
        <v>10</v>
      </c>
      <c r="M204" s="7">
        <v>12</v>
      </c>
    </row>
    <row r="205" spans="1:17" hidden="1" x14ac:dyDescent="0.3">
      <c r="A205" s="52" t="s">
        <v>493</v>
      </c>
      <c r="B205" t="s">
        <v>21</v>
      </c>
      <c r="C205" t="s">
        <v>29</v>
      </c>
      <c r="D205" t="s">
        <v>498</v>
      </c>
      <c r="E205" t="s">
        <v>221</v>
      </c>
      <c r="F205" t="s">
        <v>142</v>
      </c>
      <c r="G205" t="s">
        <v>499</v>
      </c>
      <c r="Q205" s="1"/>
    </row>
    <row r="206" spans="1:17" hidden="1" x14ac:dyDescent="0.3">
      <c r="A206" s="52" t="s">
        <v>497</v>
      </c>
      <c r="B206" t="s">
        <v>53</v>
      </c>
      <c r="C206" t="s">
        <v>29</v>
      </c>
      <c r="D206" s="10" t="s">
        <v>501</v>
      </c>
      <c r="E206" s="10" t="s">
        <v>502</v>
      </c>
      <c r="F206" t="s">
        <v>56</v>
      </c>
      <c r="G206" t="s">
        <v>503</v>
      </c>
    </row>
    <row r="207" spans="1:17" hidden="1" x14ac:dyDescent="0.3">
      <c r="A207" s="52" t="s">
        <v>500</v>
      </c>
      <c r="B207" t="s">
        <v>53</v>
      </c>
      <c r="C207" t="s">
        <v>22</v>
      </c>
      <c r="D207" s="18" t="s">
        <v>688</v>
      </c>
      <c r="E207" s="10" t="s">
        <v>689</v>
      </c>
      <c r="F207" t="s">
        <v>43</v>
      </c>
      <c r="G207" t="s">
        <v>503</v>
      </c>
      <c r="P207" s="50"/>
      <c r="Q207" s="51"/>
    </row>
    <row r="210" spans="4:8" x14ac:dyDescent="0.3">
      <c r="G210" s="6" t="s">
        <v>788</v>
      </c>
      <c r="H210" s="6">
        <v>361</v>
      </c>
    </row>
    <row r="211" spans="4:8" x14ac:dyDescent="0.3">
      <c r="D211" t="s">
        <v>778</v>
      </c>
      <c r="G211" s="3" t="s">
        <v>790</v>
      </c>
      <c r="H211" s="3">
        <v>536</v>
      </c>
    </row>
    <row r="212" spans="4:8" x14ac:dyDescent="0.3">
      <c r="D212" s="6" t="s">
        <v>531</v>
      </c>
      <c r="G212" t="s">
        <v>789</v>
      </c>
      <c r="H212">
        <v>874</v>
      </c>
    </row>
    <row r="213" spans="4:8" x14ac:dyDescent="0.3">
      <c r="D213" s="3" t="s">
        <v>776</v>
      </c>
    </row>
    <row r="214" spans="4:8" x14ac:dyDescent="0.3">
      <c r="D214" s="7" t="s">
        <v>777</v>
      </c>
    </row>
    <row r="215" spans="4:8" x14ac:dyDescent="0.3">
      <c r="D215" s="52"/>
    </row>
    <row r="216" spans="4:8" x14ac:dyDescent="0.3">
      <c r="D216" s="13" t="s">
        <v>535</v>
      </c>
    </row>
  </sheetData>
  <autoFilter ref="A1:Q207" xr:uid="{E6B94256-6987-42BF-B5A4-CCFB3DECE18D}">
    <filterColumn colId="0">
      <colorFilter dxfId="0"/>
    </filterColumn>
    <filterColumn colId="12">
      <filters>
        <filter val="2"/>
        <filter val="2.5"/>
        <filter val="3"/>
        <filter val="4"/>
        <filter val="5"/>
        <filter val="5.5"/>
        <filter val="6"/>
        <filter val="7"/>
        <filter val="8"/>
        <filter val="8.5"/>
      </filters>
    </filterColumn>
    <sortState xmlns:xlrd2="http://schemas.microsoft.com/office/spreadsheetml/2017/richdata2" ref="A2:Q207">
      <sortCondition ref="A1:A207"/>
    </sortState>
  </autoFilter>
  <hyperlinks>
    <hyperlink ref="D29" r:id="rId1" xr:uid="{22973F6D-D24C-4810-9F9D-6C21ABFE21C4}"/>
    <hyperlink ref="D179" r:id="rId2" xr:uid="{9134DA19-F13B-4982-8284-BECD6C0D67AA}"/>
    <hyperlink ref="D160" r:id="rId3" xr:uid="{83ECD0EC-9E1B-4323-BF2A-B8744C170A64}"/>
    <hyperlink ref="D161" r:id="rId4" xr:uid="{222802F2-62F3-4BE3-B5CB-BDA97ADC09F1}"/>
    <hyperlink ref="D37" r:id="rId5" xr:uid="{AEA48C34-D8A7-44A4-AB23-AC582CB5558D}"/>
    <hyperlink ref="D159" r:id="rId6" xr:uid="{0D10DB19-9C31-45B0-B29B-46BF6C059786}"/>
    <hyperlink ref="D180" r:id="rId7" xr:uid="{29288314-0518-4923-B81C-8C3BC026DCF0}"/>
    <hyperlink ref="D203" r:id="rId8" display="tyler@w2energyservices.com" xr:uid="{FA3D08D5-3308-40A5-B73C-DF4A99221E5C}"/>
    <hyperlink ref="D133" r:id="rId9" xr:uid="{F7487CE1-ED5D-40C6-9084-11FE5A62EAD7}"/>
    <hyperlink ref="D134" r:id="rId10" xr:uid="{3F7698EF-F9D4-443E-A95E-BF48D1EA5973}"/>
    <hyperlink ref="D62" r:id="rId11" xr:uid="{DBB4F95B-5FCB-4867-B7F6-2F54D17E84E5}"/>
    <hyperlink ref="D114" r:id="rId12" xr:uid="{4DFCBB0E-B313-47A3-8C05-7D3939149F43}"/>
    <hyperlink ref="D2" r:id="rId13" xr:uid="{C2C24868-6B3F-4125-95C0-5BB957177BB1}"/>
    <hyperlink ref="D126" r:id="rId14" xr:uid="{CB03D41C-8744-4A1D-AC2B-8A9EFA5B65D6}"/>
    <hyperlink ref="D174" r:id="rId15" display="readelectric@aol.com" xr:uid="{7D8AE483-7EA5-44E4-98C6-8DB7DB4DD28C}"/>
    <hyperlink ref="D171" r:id="rId16" xr:uid="{494A5AF1-2212-43C9-B8E1-D6FDBE7F7A74}"/>
    <hyperlink ref="D188" r:id="rId17" xr:uid="{A9E26336-3295-41ED-B593-77A741775D4E}"/>
    <hyperlink ref="D23" r:id="rId18" xr:uid="{1E80F73F-0C72-4D34-8FA5-CD0F4A2DA2FC}"/>
    <hyperlink ref="D119" r:id="rId19" xr:uid="{3F3B090E-76D8-4F3D-AAE0-6096B846A238}"/>
    <hyperlink ref="D207" r:id="rId20" xr:uid="{B7BBA513-FC67-4589-A5C9-ED07A3B97482}"/>
    <hyperlink ref="D3" r:id="rId21" xr:uid="{1C51019E-5386-4D73-9591-B1D37E5EFA08}"/>
    <hyperlink ref="D94" r:id="rId22" xr:uid="{6D839A86-341D-4CE7-AE25-E1911EF0BD37}"/>
    <hyperlink ref="D18:D20" r:id="rId23" display="tony.slone@apexls.org" xr:uid="{FCE2F2FB-6080-4EB4-8BE2-849501D274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B021-02A9-4BC2-ADC3-FD3687BBF9DD}">
  <dimension ref="A1:U185"/>
  <sheetViews>
    <sheetView zoomScale="70" zoomScaleNormal="70"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3.6640625" bestFit="1" customWidth="1"/>
    <col min="6" max="6" width="18.5546875" bestFit="1" customWidth="1"/>
    <col min="7" max="7" width="19.5546875" bestFit="1" customWidth="1"/>
    <col min="13" max="13" width="26.109375" bestFit="1" customWidth="1"/>
    <col min="14" max="14" width="28.33203125" bestFit="1" customWidth="1"/>
    <col min="15" max="15" width="24.6640625" bestFit="1" customWidth="1"/>
    <col min="16" max="16" width="21.5546875" bestFit="1" customWidth="1"/>
    <col min="17" max="17" width="28.88671875" bestFit="1" customWidth="1"/>
    <col min="18" max="18" width="2.21875" customWidth="1"/>
    <col min="19" max="19" width="2.88671875" customWidth="1"/>
    <col min="20" max="20" width="30.33203125" bestFit="1" customWidth="1"/>
    <col min="21" max="21" width="26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697</v>
      </c>
      <c r="N1" t="s">
        <v>12</v>
      </c>
      <c r="O1" t="s">
        <v>13</v>
      </c>
      <c r="P1" t="s">
        <v>14</v>
      </c>
      <c r="Q1" t="s">
        <v>712</v>
      </c>
      <c r="R1" t="s">
        <v>16</v>
      </c>
      <c r="S1" t="s">
        <v>17</v>
      </c>
      <c r="T1" t="s">
        <v>18</v>
      </c>
      <c r="U1" t="s">
        <v>731</v>
      </c>
    </row>
    <row r="2" spans="1:21" x14ac:dyDescent="0.3">
      <c r="A2" s="41" t="s">
        <v>20</v>
      </c>
      <c r="B2" t="s">
        <v>21</v>
      </c>
      <c r="C2" t="s">
        <v>22</v>
      </c>
      <c r="D2" s="18" t="s">
        <v>23</v>
      </c>
      <c r="E2" s="10" t="s">
        <v>24</v>
      </c>
      <c r="F2" t="s">
        <v>25</v>
      </c>
      <c r="G2" t="s">
        <v>716</v>
      </c>
      <c r="H2">
        <v>26</v>
      </c>
      <c r="I2">
        <v>8</v>
      </c>
      <c r="J2">
        <v>3</v>
      </c>
      <c r="K2">
        <v>2</v>
      </c>
      <c r="L2">
        <v>0</v>
      </c>
      <c r="T2" s="50">
        <f>177*1.3/60</f>
        <v>3.835</v>
      </c>
      <c r="U2" s="51">
        <f>53*1.3/60</f>
        <v>1.1483333333333334</v>
      </c>
    </row>
    <row r="3" spans="1:21" x14ac:dyDescent="0.3">
      <c r="A3" s="41" t="s">
        <v>20</v>
      </c>
      <c r="B3" t="s">
        <v>21</v>
      </c>
      <c r="C3" t="s">
        <v>22</v>
      </c>
      <c r="D3" s="18" t="s">
        <v>23</v>
      </c>
      <c r="E3" s="10" t="s">
        <v>24</v>
      </c>
      <c r="F3" t="s">
        <v>25</v>
      </c>
      <c r="G3" t="s">
        <v>717</v>
      </c>
      <c r="H3">
        <v>8</v>
      </c>
      <c r="I3">
        <v>2</v>
      </c>
      <c r="J3">
        <v>1</v>
      </c>
      <c r="K3">
        <v>1</v>
      </c>
      <c r="L3">
        <v>0</v>
      </c>
      <c r="T3" s="50">
        <v>26</v>
      </c>
      <c r="U3">
        <f>978*1.3/60</f>
        <v>21.19</v>
      </c>
    </row>
    <row r="4" spans="1:21" x14ac:dyDescent="0.3">
      <c r="A4" t="s">
        <v>27</v>
      </c>
      <c r="B4" t="s">
        <v>28</v>
      </c>
      <c r="C4" t="s">
        <v>29</v>
      </c>
      <c r="D4" s="18" t="s">
        <v>30</v>
      </c>
      <c r="E4" s="10" t="s">
        <v>31</v>
      </c>
      <c r="F4" t="s">
        <v>32</v>
      </c>
      <c r="G4" t="s">
        <v>33</v>
      </c>
      <c r="H4">
        <v>0</v>
      </c>
      <c r="I4">
        <v>0</v>
      </c>
      <c r="J4">
        <v>0</v>
      </c>
      <c r="K4">
        <v>0</v>
      </c>
      <c r="L4">
        <v>0</v>
      </c>
    </row>
    <row r="5" spans="1:21" x14ac:dyDescent="0.3">
      <c r="A5" t="s">
        <v>27</v>
      </c>
      <c r="B5" t="s">
        <v>28</v>
      </c>
      <c r="C5" t="s">
        <v>29</v>
      </c>
      <c r="D5" s="18" t="s">
        <v>30</v>
      </c>
      <c r="E5" s="10" t="s">
        <v>31</v>
      </c>
      <c r="F5" t="s">
        <v>32</v>
      </c>
      <c r="G5" t="s">
        <v>34</v>
      </c>
      <c r="H5">
        <v>0</v>
      </c>
      <c r="I5">
        <v>0</v>
      </c>
      <c r="J5">
        <v>0</v>
      </c>
      <c r="K5">
        <v>0</v>
      </c>
      <c r="L5">
        <v>0</v>
      </c>
    </row>
    <row r="6" spans="1:21" x14ac:dyDescent="0.3">
      <c r="A6" t="s">
        <v>35</v>
      </c>
      <c r="B6" t="s">
        <v>28</v>
      </c>
      <c r="C6" t="s">
        <v>29</v>
      </c>
      <c r="D6" t="s">
        <v>36</v>
      </c>
      <c r="E6" t="s">
        <v>37</v>
      </c>
      <c r="F6" t="s">
        <v>38</v>
      </c>
      <c r="G6" t="s">
        <v>39</v>
      </c>
      <c r="H6">
        <v>0</v>
      </c>
      <c r="I6">
        <v>0</v>
      </c>
      <c r="J6">
        <v>0</v>
      </c>
      <c r="K6">
        <v>0</v>
      </c>
      <c r="L6">
        <v>0</v>
      </c>
      <c r="U6" s="1"/>
    </row>
    <row r="7" spans="1:21" x14ac:dyDescent="0.3">
      <c r="A7" s="2" t="s">
        <v>45</v>
      </c>
      <c r="B7" t="s">
        <v>21</v>
      </c>
      <c r="C7" t="s">
        <v>22</v>
      </c>
      <c r="D7" s="10" t="s">
        <v>41</v>
      </c>
      <c r="E7" s="10" t="s">
        <v>42</v>
      </c>
      <c r="F7" t="s">
        <v>43</v>
      </c>
      <c r="G7" t="s">
        <v>321</v>
      </c>
      <c r="H7">
        <v>0</v>
      </c>
      <c r="I7">
        <v>0</v>
      </c>
      <c r="J7">
        <v>0</v>
      </c>
      <c r="K7">
        <v>0</v>
      </c>
      <c r="L7">
        <v>0</v>
      </c>
      <c r="U7" s="1"/>
    </row>
    <row r="8" spans="1:21" x14ac:dyDescent="0.3">
      <c r="A8" s="2" t="s">
        <v>45</v>
      </c>
      <c r="B8" t="s">
        <v>21</v>
      </c>
      <c r="C8" t="s">
        <v>22</v>
      </c>
      <c r="D8" s="10" t="s">
        <v>41</v>
      </c>
      <c r="E8" s="10" t="s">
        <v>42</v>
      </c>
      <c r="F8" t="s">
        <v>43</v>
      </c>
      <c r="G8" t="s">
        <v>695</v>
      </c>
      <c r="H8">
        <v>0</v>
      </c>
      <c r="I8">
        <v>0</v>
      </c>
      <c r="J8">
        <v>0</v>
      </c>
      <c r="K8">
        <v>0</v>
      </c>
      <c r="L8">
        <v>0</v>
      </c>
      <c r="U8" s="1"/>
    </row>
    <row r="9" spans="1:21" x14ac:dyDescent="0.3">
      <c r="A9" s="2" t="s">
        <v>45</v>
      </c>
      <c r="B9" t="s">
        <v>21</v>
      </c>
      <c r="C9" t="s">
        <v>22</v>
      </c>
      <c r="D9" s="10" t="s">
        <v>41</v>
      </c>
      <c r="E9" s="10" t="s">
        <v>42</v>
      </c>
      <c r="F9" t="s">
        <v>43</v>
      </c>
      <c r="G9" t="s">
        <v>86</v>
      </c>
      <c r="H9">
        <v>0</v>
      </c>
      <c r="I9">
        <v>0</v>
      </c>
      <c r="J9">
        <v>0</v>
      </c>
      <c r="K9">
        <v>0</v>
      </c>
      <c r="L9">
        <v>0</v>
      </c>
      <c r="U9" s="1"/>
    </row>
    <row r="10" spans="1:21" x14ac:dyDescent="0.3">
      <c r="A10" t="s">
        <v>45</v>
      </c>
      <c r="B10" t="s">
        <v>21</v>
      </c>
      <c r="C10" t="s">
        <v>22</v>
      </c>
      <c r="D10" s="10" t="s">
        <v>41</v>
      </c>
      <c r="E10" s="10" t="s">
        <v>42</v>
      </c>
      <c r="F10" t="s">
        <v>43</v>
      </c>
      <c r="G10" t="s">
        <v>46</v>
      </c>
      <c r="H10">
        <v>0</v>
      </c>
      <c r="I10">
        <v>0</v>
      </c>
      <c r="J10">
        <v>0</v>
      </c>
      <c r="K10">
        <v>0</v>
      </c>
      <c r="L10">
        <v>0</v>
      </c>
      <c r="U10" s="1"/>
    </row>
    <row r="11" spans="1:21" x14ac:dyDescent="0.3">
      <c r="A11" t="s">
        <v>47</v>
      </c>
      <c r="B11" t="s">
        <v>21</v>
      </c>
      <c r="C11" t="s">
        <v>22</v>
      </c>
      <c r="D11" t="s">
        <v>48</v>
      </c>
      <c r="E11" t="s">
        <v>49</v>
      </c>
      <c r="F11" t="s">
        <v>50</v>
      </c>
      <c r="G11" t="s">
        <v>51</v>
      </c>
      <c r="H11">
        <v>0</v>
      </c>
      <c r="I11">
        <v>0</v>
      </c>
      <c r="J11">
        <v>0</v>
      </c>
      <c r="K11">
        <v>0</v>
      </c>
      <c r="L11">
        <v>0</v>
      </c>
      <c r="U11" s="1"/>
    </row>
    <row r="12" spans="1:21" x14ac:dyDescent="0.3">
      <c r="A12" t="s">
        <v>52</v>
      </c>
      <c r="B12" t="s">
        <v>53</v>
      </c>
      <c r="C12" t="s">
        <v>29</v>
      </c>
      <c r="D12" s="10" t="s">
        <v>54</v>
      </c>
      <c r="E12" s="10" t="s">
        <v>55</v>
      </c>
      <c r="F12" t="s">
        <v>56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1" x14ac:dyDescent="0.3">
      <c r="A13" t="s">
        <v>58</v>
      </c>
      <c r="B13" t="s">
        <v>21</v>
      </c>
      <c r="C13" t="s">
        <v>29</v>
      </c>
      <c r="D13" s="18" t="s">
        <v>59</v>
      </c>
      <c r="E13" s="10" t="s">
        <v>60</v>
      </c>
      <c r="F13" t="s">
        <v>25</v>
      </c>
      <c r="G13" t="s">
        <v>61</v>
      </c>
      <c r="H13">
        <v>0</v>
      </c>
      <c r="I13">
        <v>0</v>
      </c>
      <c r="J13">
        <v>0</v>
      </c>
      <c r="K13">
        <v>0</v>
      </c>
      <c r="L13">
        <v>0</v>
      </c>
      <c r="U13" s="1"/>
    </row>
    <row r="14" spans="1:21" x14ac:dyDescent="0.3">
      <c r="A14" s="10" t="s">
        <v>62</v>
      </c>
      <c r="B14" t="s">
        <v>21</v>
      </c>
      <c r="C14" t="s">
        <v>22</v>
      </c>
      <c r="D14" s="18" t="s">
        <v>63</v>
      </c>
      <c r="E14" s="10" t="s">
        <v>64</v>
      </c>
      <c r="F14" t="s">
        <v>65</v>
      </c>
      <c r="G14" t="s">
        <v>66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21" x14ac:dyDescent="0.3">
      <c r="A15" s="41" t="s">
        <v>67</v>
      </c>
      <c r="B15" t="s">
        <v>21</v>
      </c>
      <c r="C15" t="s">
        <v>22</v>
      </c>
      <c r="D15" s="18" t="s">
        <v>68</v>
      </c>
      <c r="E15" s="10" t="s">
        <v>69</v>
      </c>
      <c r="G15" t="s">
        <v>713</v>
      </c>
      <c r="H15">
        <v>18</v>
      </c>
      <c r="I15">
        <v>0</v>
      </c>
      <c r="J15">
        <v>0</v>
      </c>
      <c r="K15">
        <v>0</v>
      </c>
      <c r="L15">
        <v>0</v>
      </c>
      <c r="T15" s="50">
        <f>330*1.3/60</f>
        <v>7.15</v>
      </c>
      <c r="U15" s="51">
        <f>313*1.3/60</f>
        <v>6.7816666666666672</v>
      </c>
    </row>
    <row r="16" spans="1:21" x14ac:dyDescent="0.3">
      <c r="A16" s="41" t="s">
        <v>70</v>
      </c>
      <c r="B16" t="s">
        <v>53</v>
      </c>
      <c r="C16" t="s">
        <v>29</v>
      </c>
      <c r="D16" t="s">
        <v>71</v>
      </c>
      <c r="E16" t="s">
        <v>72</v>
      </c>
      <c r="F16" t="s">
        <v>56</v>
      </c>
      <c r="G16" t="s">
        <v>729</v>
      </c>
      <c r="H16">
        <v>15</v>
      </c>
      <c r="I16">
        <v>0</v>
      </c>
      <c r="J16">
        <v>0</v>
      </c>
      <c r="K16">
        <v>0</v>
      </c>
      <c r="L16">
        <v>0</v>
      </c>
      <c r="T16" s="50">
        <f>200*1.3/60</f>
        <v>4.333333333333333</v>
      </c>
      <c r="U16" s="1">
        <f>284*1.3/60</f>
        <v>6.1533333333333333</v>
      </c>
    </row>
    <row r="17" spans="1:21" x14ac:dyDescent="0.3">
      <c r="A17" s="41" t="s">
        <v>74</v>
      </c>
      <c r="B17" t="s">
        <v>21</v>
      </c>
      <c r="D17" t="s">
        <v>75</v>
      </c>
      <c r="E17" s="10" t="s">
        <v>76</v>
      </c>
      <c r="F17" t="s">
        <v>32</v>
      </c>
      <c r="G17" t="s">
        <v>77</v>
      </c>
      <c r="H17">
        <v>40</v>
      </c>
      <c r="I17">
        <v>13</v>
      </c>
      <c r="J17">
        <v>3</v>
      </c>
      <c r="K17">
        <v>4</v>
      </c>
      <c r="L17">
        <v>1</v>
      </c>
      <c r="U17" s="1"/>
    </row>
    <row r="18" spans="1:21" x14ac:dyDescent="0.3">
      <c r="A18" s="41" t="s">
        <v>720</v>
      </c>
      <c r="B18" t="s">
        <v>21</v>
      </c>
      <c r="C18" t="s">
        <v>22</v>
      </c>
      <c r="D18" s="49" t="s">
        <v>721</v>
      </c>
      <c r="E18" s="10" t="s">
        <v>723</v>
      </c>
      <c r="F18" s="10" t="s">
        <v>43</v>
      </c>
      <c r="G18" t="s">
        <v>722</v>
      </c>
      <c r="H18">
        <v>40</v>
      </c>
      <c r="I18">
        <v>0</v>
      </c>
      <c r="J18">
        <v>0</v>
      </c>
      <c r="K18">
        <v>0</v>
      </c>
      <c r="L18">
        <v>0</v>
      </c>
      <c r="T18" s="50">
        <f>512*1.3/60</f>
        <v>11.093333333333334</v>
      </c>
      <c r="U18" s="1">
        <f>397*1.3/60</f>
        <v>8.6016666666666666</v>
      </c>
    </row>
    <row r="19" spans="1:21" x14ac:dyDescent="0.3">
      <c r="A19" t="s">
        <v>78</v>
      </c>
      <c r="B19" t="s">
        <v>53</v>
      </c>
      <c r="D19" s="18" t="s">
        <v>79</v>
      </c>
      <c r="E19" s="10" t="s">
        <v>80</v>
      </c>
      <c r="F19" t="s">
        <v>81</v>
      </c>
      <c r="G19" t="s">
        <v>82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1" x14ac:dyDescent="0.3">
      <c r="A20" t="s">
        <v>83</v>
      </c>
      <c r="B20" t="s">
        <v>21</v>
      </c>
      <c r="C20" t="s">
        <v>22</v>
      </c>
      <c r="D20" s="18" t="s">
        <v>84</v>
      </c>
      <c r="E20" s="10" t="s">
        <v>85</v>
      </c>
      <c r="F20" t="s">
        <v>25</v>
      </c>
      <c r="G20" t="s">
        <v>705</v>
      </c>
      <c r="H20">
        <v>0</v>
      </c>
      <c r="I20">
        <v>0</v>
      </c>
      <c r="J20">
        <v>0</v>
      </c>
      <c r="K20">
        <v>0</v>
      </c>
      <c r="L20">
        <v>0</v>
      </c>
      <c r="U20" s="1"/>
    </row>
    <row r="21" spans="1:21" x14ac:dyDescent="0.3">
      <c r="A21" t="s">
        <v>706</v>
      </c>
      <c r="B21" t="s">
        <v>21</v>
      </c>
      <c r="C21" t="s">
        <v>22</v>
      </c>
      <c r="D21" s="18" t="s">
        <v>84</v>
      </c>
      <c r="E21" s="10" t="s">
        <v>85</v>
      </c>
      <c r="F21" t="s">
        <v>25</v>
      </c>
      <c r="G21" t="s">
        <v>707</v>
      </c>
      <c r="H21">
        <v>0</v>
      </c>
      <c r="I21">
        <v>0</v>
      </c>
      <c r="J21">
        <v>0</v>
      </c>
      <c r="K21">
        <v>0</v>
      </c>
      <c r="L21">
        <v>0</v>
      </c>
      <c r="U21" s="1"/>
    </row>
    <row r="22" spans="1:21" x14ac:dyDescent="0.3">
      <c r="A22" t="s">
        <v>89</v>
      </c>
      <c r="B22" t="s">
        <v>21</v>
      </c>
      <c r="C22" t="s">
        <v>22</v>
      </c>
      <c r="D22" t="s">
        <v>90</v>
      </c>
      <c r="E22" s="10" t="s">
        <v>91</v>
      </c>
      <c r="F22" t="s">
        <v>92</v>
      </c>
      <c r="G22" t="s">
        <v>93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21" x14ac:dyDescent="0.3">
      <c r="A23" t="s">
        <v>89</v>
      </c>
      <c r="B23" t="s">
        <v>21</v>
      </c>
      <c r="C23" t="s">
        <v>22</v>
      </c>
      <c r="D23" t="s">
        <v>90</v>
      </c>
      <c r="E23" s="10" t="s">
        <v>91</v>
      </c>
      <c r="F23" t="s">
        <v>92</v>
      </c>
      <c r="G23" t="s">
        <v>94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21" x14ac:dyDescent="0.3">
      <c r="A24" t="s">
        <v>95</v>
      </c>
      <c r="B24" t="s">
        <v>21</v>
      </c>
      <c r="C24" t="s">
        <v>22</v>
      </c>
      <c r="D24" s="18" t="s">
        <v>96</v>
      </c>
      <c r="E24" s="10" t="s">
        <v>97</v>
      </c>
      <c r="F24" t="s">
        <v>25</v>
      </c>
      <c r="G24" t="s">
        <v>98</v>
      </c>
      <c r="H24">
        <v>0</v>
      </c>
      <c r="I24">
        <v>0</v>
      </c>
      <c r="J24">
        <v>0</v>
      </c>
      <c r="K24">
        <v>0</v>
      </c>
      <c r="L24">
        <v>0</v>
      </c>
      <c r="U24" s="1"/>
    </row>
    <row r="25" spans="1:21" x14ac:dyDescent="0.3">
      <c r="A25" t="s">
        <v>99</v>
      </c>
      <c r="B25" t="s">
        <v>53</v>
      </c>
      <c r="C25" t="s">
        <v>22</v>
      </c>
      <c r="D25" t="s">
        <v>100</v>
      </c>
      <c r="E25" t="s">
        <v>101</v>
      </c>
      <c r="F25" t="s">
        <v>56</v>
      </c>
      <c r="G25" t="s">
        <v>102</v>
      </c>
      <c r="H25">
        <v>0</v>
      </c>
      <c r="I25">
        <v>0</v>
      </c>
      <c r="J25">
        <v>0</v>
      </c>
      <c r="K25">
        <v>0</v>
      </c>
      <c r="L25">
        <v>0</v>
      </c>
      <c r="U25" s="1"/>
    </row>
    <row r="26" spans="1:21" x14ac:dyDescent="0.3">
      <c r="A26" t="s">
        <v>103</v>
      </c>
      <c r="B26" t="s">
        <v>28</v>
      </c>
      <c r="C26" t="s">
        <v>22</v>
      </c>
      <c r="D26" s="18" t="s">
        <v>104</v>
      </c>
      <c r="E26" s="10" t="s">
        <v>105</v>
      </c>
      <c r="F26" t="s">
        <v>43</v>
      </c>
      <c r="G26" t="s">
        <v>106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21" x14ac:dyDescent="0.3">
      <c r="A27" s="42" t="s">
        <v>107</v>
      </c>
      <c r="B27" t="s">
        <v>21</v>
      </c>
      <c r="C27" t="s">
        <v>22</v>
      </c>
      <c r="D27" t="s">
        <v>108</v>
      </c>
      <c r="E27" t="s">
        <v>109</v>
      </c>
      <c r="F27" t="s">
        <v>110</v>
      </c>
      <c r="G27" t="s">
        <v>718</v>
      </c>
      <c r="H27">
        <v>20</v>
      </c>
      <c r="I27">
        <v>0</v>
      </c>
      <c r="J27">
        <v>0</v>
      </c>
      <c r="K27">
        <v>0</v>
      </c>
      <c r="L27">
        <v>0</v>
      </c>
      <c r="T27" s="50">
        <f>554*1.3/60</f>
        <v>12.003333333333334</v>
      </c>
      <c r="U27" s="1">
        <f>439*1.3/60</f>
        <v>9.5116666666666667</v>
      </c>
    </row>
    <row r="28" spans="1:21" x14ac:dyDescent="0.3">
      <c r="A28" s="2" t="s">
        <v>107</v>
      </c>
      <c r="B28" t="s">
        <v>21</v>
      </c>
      <c r="C28" t="s">
        <v>22</v>
      </c>
      <c r="D28" t="s">
        <v>108</v>
      </c>
      <c r="E28" t="s">
        <v>109</v>
      </c>
      <c r="F28" t="s">
        <v>110</v>
      </c>
      <c r="G28" t="s">
        <v>701</v>
      </c>
      <c r="H28">
        <v>0</v>
      </c>
      <c r="I28">
        <v>0</v>
      </c>
      <c r="J28">
        <v>0</v>
      </c>
      <c r="K28">
        <v>0</v>
      </c>
      <c r="L28">
        <v>0</v>
      </c>
      <c r="U28" s="1"/>
    </row>
    <row r="29" spans="1:21" x14ac:dyDescent="0.3">
      <c r="A29" s="2" t="s">
        <v>107</v>
      </c>
      <c r="B29" t="s">
        <v>21</v>
      </c>
      <c r="C29" t="s">
        <v>22</v>
      </c>
      <c r="D29" t="s">
        <v>108</v>
      </c>
      <c r="E29" t="s">
        <v>109</v>
      </c>
      <c r="F29" t="s">
        <v>110</v>
      </c>
      <c r="G29" t="s">
        <v>702</v>
      </c>
      <c r="H29">
        <v>0</v>
      </c>
      <c r="I29">
        <v>0</v>
      </c>
      <c r="J29">
        <v>0</v>
      </c>
      <c r="K29">
        <v>0</v>
      </c>
      <c r="L29">
        <v>0</v>
      </c>
      <c r="U29" s="1"/>
    </row>
    <row r="30" spans="1:21" x14ac:dyDescent="0.3">
      <c r="A30" t="s">
        <v>112</v>
      </c>
      <c r="B30" t="s">
        <v>113</v>
      </c>
      <c r="C30" t="s">
        <v>22</v>
      </c>
      <c r="D30" t="s">
        <v>114</v>
      </c>
      <c r="E30" t="s">
        <v>115</v>
      </c>
      <c r="F30" t="s">
        <v>92</v>
      </c>
      <c r="G30" t="s">
        <v>116</v>
      </c>
      <c r="H30">
        <v>0</v>
      </c>
      <c r="I30">
        <v>0</v>
      </c>
      <c r="J30">
        <v>0</v>
      </c>
      <c r="K30">
        <v>0</v>
      </c>
      <c r="L30">
        <v>0</v>
      </c>
      <c r="U30" s="1"/>
    </row>
    <row r="31" spans="1:21" x14ac:dyDescent="0.3">
      <c r="A31" t="s">
        <v>117</v>
      </c>
      <c r="B31" t="s">
        <v>28</v>
      </c>
      <c r="D31" s="18" t="s">
        <v>118</v>
      </c>
      <c r="E31" s="10" t="s">
        <v>119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21" x14ac:dyDescent="0.3">
      <c r="A32" t="s">
        <v>120</v>
      </c>
      <c r="B32" t="s">
        <v>28</v>
      </c>
      <c r="C32" t="s">
        <v>22</v>
      </c>
      <c r="D32" s="18" t="s">
        <v>121</v>
      </c>
      <c r="E32" s="10" t="s">
        <v>122</v>
      </c>
      <c r="F32" t="s">
        <v>32</v>
      </c>
      <c r="G32" t="s">
        <v>123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21" x14ac:dyDescent="0.3">
      <c r="A33" t="s">
        <v>124</v>
      </c>
      <c r="B33" t="s">
        <v>28</v>
      </c>
      <c r="C33" t="s">
        <v>22</v>
      </c>
      <c r="D33" s="18" t="s">
        <v>121</v>
      </c>
      <c r="E33" s="10" t="s">
        <v>122</v>
      </c>
      <c r="F33" t="s">
        <v>32</v>
      </c>
      <c r="G33" t="s">
        <v>34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21" x14ac:dyDescent="0.3">
      <c r="A34" t="s">
        <v>125</v>
      </c>
      <c r="B34" t="s">
        <v>28</v>
      </c>
      <c r="C34" t="s">
        <v>22</v>
      </c>
      <c r="D34" s="18" t="s">
        <v>126</v>
      </c>
      <c r="E34" s="10" t="s">
        <v>127</v>
      </c>
      <c r="F34" t="s">
        <v>32</v>
      </c>
      <c r="G34" t="s">
        <v>128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21" x14ac:dyDescent="0.3">
      <c r="A35" t="s">
        <v>129</v>
      </c>
      <c r="B35" t="s">
        <v>21</v>
      </c>
      <c r="C35" t="s">
        <v>22</v>
      </c>
      <c r="D35" s="18" t="s">
        <v>130</v>
      </c>
      <c r="E35" s="10" t="s">
        <v>131</v>
      </c>
      <c r="F35" t="s">
        <v>32</v>
      </c>
      <c r="G35" t="s">
        <v>132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21" x14ac:dyDescent="0.3">
      <c r="A36" t="s">
        <v>129</v>
      </c>
      <c r="B36" t="s">
        <v>21</v>
      </c>
      <c r="C36" t="s">
        <v>22</v>
      </c>
      <c r="D36" s="18" t="s">
        <v>130</v>
      </c>
      <c r="E36" s="10" t="s">
        <v>131</v>
      </c>
      <c r="F36" t="s">
        <v>32</v>
      </c>
      <c r="G36" t="s">
        <v>133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21" x14ac:dyDescent="0.3">
      <c r="A37" t="s">
        <v>134</v>
      </c>
      <c r="B37" t="s">
        <v>28</v>
      </c>
      <c r="C37" t="s">
        <v>29</v>
      </c>
      <c r="D37" t="s">
        <v>135</v>
      </c>
      <c r="E37" t="s">
        <v>136</v>
      </c>
      <c r="F37" t="s">
        <v>137</v>
      </c>
      <c r="G37" t="s">
        <v>138</v>
      </c>
      <c r="H37">
        <v>0</v>
      </c>
      <c r="I37">
        <v>0</v>
      </c>
      <c r="J37">
        <v>0</v>
      </c>
      <c r="K37">
        <v>0</v>
      </c>
      <c r="L37">
        <v>0</v>
      </c>
      <c r="U37" s="1"/>
    </row>
    <row r="38" spans="1:21" x14ac:dyDescent="0.3">
      <c r="A38" t="s">
        <v>139</v>
      </c>
      <c r="B38" t="s">
        <v>21</v>
      </c>
      <c r="C38" t="s">
        <v>22</v>
      </c>
      <c r="D38" t="s">
        <v>140</v>
      </c>
      <c r="E38" t="s">
        <v>141</v>
      </c>
      <c r="F38" t="s">
        <v>142</v>
      </c>
      <c r="G38" t="s">
        <v>143</v>
      </c>
      <c r="H38">
        <v>0</v>
      </c>
      <c r="I38">
        <v>0</v>
      </c>
      <c r="J38">
        <v>0</v>
      </c>
      <c r="K38">
        <v>0</v>
      </c>
      <c r="L38">
        <v>0</v>
      </c>
      <c r="U38" s="1"/>
    </row>
    <row r="39" spans="1:21" x14ac:dyDescent="0.3">
      <c r="A39" t="s">
        <v>139</v>
      </c>
      <c r="B39" t="s">
        <v>21</v>
      </c>
      <c r="C39" t="s">
        <v>22</v>
      </c>
      <c r="D39" t="s">
        <v>140</v>
      </c>
      <c r="E39" t="s">
        <v>141</v>
      </c>
      <c r="F39" t="s">
        <v>142</v>
      </c>
      <c r="G39" t="s">
        <v>700</v>
      </c>
      <c r="H39">
        <v>0</v>
      </c>
      <c r="I39">
        <v>0</v>
      </c>
      <c r="J39">
        <v>0</v>
      </c>
      <c r="K39">
        <v>0</v>
      </c>
      <c r="L39">
        <v>0</v>
      </c>
      <c r="U39" s="1"/>
    </row>
    <row r="40" spans="1:21" x14ac:dyDescent="0.3">
      <c r="A40" t="s">
        <v>139</v>
      </c>
      <c r="B40" t="s">
        <v>21</v>
      </c>
      <c r="C40" t="s">
        <v>22</v>
      </c>
      <c r="D40" t="s">
        <v>140</v>
      </c>
      <c r="E40" t="s">
        <v>141</v>
      </c>
      <c r="F40" t="s">
        <v>142</v>
      </c>
      <c r="G40" t="s">
        <v>536</v>
      </c>
      <c r="H40">
        <v>0</v>
      </c>
      <c r="I40">
        <v>0</v>
      </c>
      <c r="J40">
        <v>0</v>
      </c>
      <c r="K40">
        <v>0</v>
      </c>
      <c r="L40">
        <v>0</v>
      </c>
      <c r="U40" s="1"/>
    </row>
    <row r="41" spans="1:21" x14ac:dyDescent="0.3">
      <c r="A41" t="s">
        <v>146</v>
      </c>
      <c r="B41" t="s">
        <v>21</v>
      </c>
      <c r="C41" t="s">
        <v>29</v>
      </c>
      <c r="D41" t="s">
        <v>147</v>
      </c>
      <c r="E41" t="s">
        <v>148</v>
      </c>
      <c r="F41" t="s">
        <v>25</v>
      </c>
      <c r="G41" t="s">
        <v>149</v>
      </c>
      <c r="H41">
        <v>0</v>
      </c>
      <c r="I41">
        <v>0</v>
      </c>
      <c r="J41">
        <v>0</v>
      </c>
      <c r="K41">
        <v>0</v>
      </c>
      <c r="L41">
        <v>0</v>
      </c>
      <c r="U41" s="1"/>
    </row>
    <row r="42" spans="1:21" x14ac:dyDescent="0.3">
      <c r="A42" s="2" t="s">
        <v>146</v>
      </c>
      <c r="B42" t="s">
        <v>21</v>
      </c>
      <c r="C42" t="s">
        <v>29</v>
      </c>
      <c r="D42" t="s">
        <v>147</v>
      </c>
      <c r="E42" t="s">
        <v>148</v>
      </c>
      <c r="F42" t="s">
        <v>25</v>
      </c>
      <c r="G42" t="s">
        <v>150</v>
      </c>
      <c r="H42">
        <v>0</v>
      </c>
      <c r="I42">
        <v>0</v>
      </c>
      <c r="J42">
        <v>0</v>
      </c>
      <c r="K42">
        <v>0</v>
      </c>
      <c r="L42">
        <v>0</v>
      </c>
      <c r="U42" s="1"/>
    </row>
    <row r="43" spans="1:21" x14ac:dyDescent="0.3">
      <c r="A43" t="s">
        <v>146</v>
      </c>
      <c r="B43" t="s">
        <v>21</v>
      </c>
      <c r="C43" t="s">
        <v>29</v>
      </c>
      <c r="D43" t="s">
        <v>147</v>
      </c>
      <c r="E43" t="s">
        <v>148</v>
      </c>
      <c r="F43" t="s">
        <v>25</v>
      </c>
      <c r="G43" t="s">
        <v>151</v>
      </c>
      <c r="H43">
        <v>0</v>
      </c>
      <c r="I43">
        <v>0</v>
      </c>
      <c r="J43">
        <v>0</v>
      </c>
      <c r="K43">
        <v>0</v>
      </c>
      <c r="L43">
        <v>0</v>
      </c>
      <c r="U43" s="1"/>
    </row>
    <row r="44" spans="1:21" x14ac:dyDescent="0.3">
      <c r="A44" t="s">
        <v>152</v>
      </c>
      <c r="B44" t="s">
        <v>28</v>
      </c>
      <c r="C44" t="s">
        <v>22</v>
      </c>
      <c r="D44" t="s">
        <v>153</v>
      </c>
      <c r="E44" t="s">
        <v>154</v>
      </c>
      <c r="F44" t="s">
        <v>155</v>
      </c>
      <c r="G44" t="s">
        <v>156</v>
      </c>
      <c r="H44">
        <v>0</v>
      </c>
      <c r="I44">
        <v>0</v>
      </c>
      <c r="J44">
        <v>0</v>
      </c>
      <c r="K44">
        <v>0</v>
      </c>
      <c r="L44">
        <v>0</v>
      </c>
      <c r="U44" s="1"/>
    </row>
    <row r="45" spans="1:21" x14ac:dyDescent="0.3">
      <c r="A45" t="s">
        <v>157</v>
      </c>
      <c r="B45" t="s">
        <v>53</v>
      </c>
      <c r="C45" t="s">
        <v>22</v>
      </c>
      <c r="D45" t="s">
        <v>153</v>
      </c>
      <c r="E45" t="s">
        <v>154</v>
      </c>
      <c r="F45" t="s">
        <v>56</v>
      </c>
      <c r="G45" t="s">
        <v>158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21" x14ac:dyDescent="0.3">
      <c r="A46" t="s">
        <v>159</v>
      </c>
      <c r="B46" t="s">
        <v>28</v>
      </c>
      <c r="C46" t="s">
        <v>22</v>
      </c>
      <c r="D46" t="s">
        <v>160</v>
      </c>
      <c r="E46" t="s">
        <v>161</v>
      </c>
      <c r="F46" t="s">
        <v>162</v>
      </c>
      <c r="G46" t="s">
        <v>698</v>
      </c>
      <c r="H46">
        <v>0</v>
      </c>
      <c r="I46">
        <v>0</v>
      </c>
      <c r="J46">
        <v>0</v>
      </c>
      <c r="K46">
        <v>0</v>
      </c>
      <c r="L46">
        <v>0</v>
      </c>
      <c r="U46" s="1"/>
    </row>
    <row r="47" spans="1:21" x14ac:dyDescent="0.3">
      <c r="A47" t="s">
        <v>164</v>
      </c>
      <c r="B47" t="s">
        <v>28</v>
      </c>
      <c r="C47" t="s">
        <v>22</v>
      </c>
      <c r="D47" t="s">
        <v>165</v>
      </c>
      <c r="E47" t="s">
        <v>166</v>
      </c>
      <c r="F47" t="s">
        <v>32</v>
      </c>
      <c r="G47" t="s">
        <v>167</v>
      </c>
      <c r="H47">
        <v>0</v>
      </c>
      <c r="I47">
        <v>0</v>
      </c>
      <c r="J47">
        <v>0</v>
      </c>
      <c r="K47">
        <v>0</v>
      </c>
      <c r="L47">
        <v>0</v>
      </c>
      <c r="U47" s="1"/>
    </row>
    <row r="48" spans="1:21" x14ac:dyDescent="0.3">
      <c r="A48" t="s">
        <v>164</v>
      </c>
      <c r="B48" t="s">
        <v>53</v>
      </c>
      <c r="C48" t="s">
        <v>22</v>
      </c>
      <c r="D48" t="s">
        <v>165</v>
      </c>
      <c r="E48" t="s">
        <v>166</v>
      </c>
      <c r="F48" t="s">
        <v>32</v>
      </c>
      <c r="G48" t="s">
        <v>168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21" x14ac:dyDescent="0.3">
      <c r="A49" t="s">
        <v>164</v>
      </c>
      <c r="B49" t="s">
        <v>53</v>
      </c>
      <c r="C49" t="s">
        <v>22</v>
      </c>
      <c r="D49" t="s">
        <v>165</v>
      </c>
      <c r="E49" t="s">
        <v>166</v>
      </c>
      <c r="F49" t="s">
        <v>32</v>
      </c>
      <c r="G49" t="s">
        <v>169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21" x14ac:dyDescent="0.3">
      <c r="A50" t="s">
        <v>164</v>
      </c>
      <c r="B50" t="s">
        <v>53</v>
      </c>
      <c r="C50" t="s">
        <v>22</v>
      </c>
      <c r="D50" t="s">
        <v>165</v>
      </c>
      <c r="E50" t="s">
        <v>166</v>
      </c>
      <c r="F50" t="s">
        <v>32</v>
      </c>
      <c r="G50" t="s">
        <v>167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21" x14ac:dyDescent="0.3">
      <c r="A51" s="41" t="s">
        <v>170</v>
      </c>
      <c r="B51" t="s">
        <v>53</v>
      </c>
      <c r="C51" t="s">
        <v>175</v>
      </c>
      <c r="D51" t="s">
        <v>171</v>
      </c>
      <c r="E51" t="s">
        <v>172</v>
      </c>
      <c r="F51" t="s">
        <v>56</v>
      </c>
      <c r="G51" t="s">
        <v>173</v>
      </c>
      <c r="H51">
        <v>9</v>
      </c>
      <c r="I51">
        <v>0</v>
      </c>
      <c r="J51">
        <v>0</v>
      </c>
      <c r="K51">
        <v>0</v>
      </c>
      <c r="L51">
        <v>0</v>
      </c>
      <c r="T51" s="50">
        <f>205*1.3/60</f>
        <v>4.4416666666666664</v>
      </c>
      <c r="U51" s="51">
        <f>214*1.3/60</f>
        <v>4.6366666666666667</v>
      </c>
    </row>
    <row r="52" spans="1:21" x14ac:dyDescent="0.3">
      <c r="A52" t="s">
        <v>170</v>
      </c>
      <c r="B52" t="s">
        <v>113</v>
      </c>
      <c r="D52" t="s">
        <v>171</v>
      </c>
      <c r="E52" t="s">
        <v>172</v>
      </c>
      <c r="F52" t="s">
        <v>56</v>
      </c>
      <c r="G52" t="s">
        <v>173</v>
      </c>
      <c r="H52">
        <v>0</v>
      </c>
      <c r="I52">
        <v>0</v>
      </c>
      <c r="J52">
        <v>0</v>
      </c>
      <c r="K52">
        <v>0</v>
      </c>
      <c r="L52">
        <v>0</v>
      </c>
      <c r="U52" s="1"/>
    </row>
    <row r="53" spans="1:21" x14ac:dyDescent="0.3">
      <c r="A53" t="s">
        <v>170</v>
      </c>
      <c r="B53" t="s">
        <v>53</v>
      </c>
      <c r="D53" t="s">
        <v>171</v>
      </c>
      <c r="E53" t="s">
        <v>172</v>
      </c>
      <c r="F53" t="s">
        <v>56</v>
      </c>
      <c r="G53" t="s">
        <v>174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21" x14ac:dyDescent="0.3">
      <c r="A54" t="s">
        <v>176</v>
      </c>
      <c r="B54" t="s">
        <v>28</v>
      </c>
      <c r="C54" t="s">
        <v>22</v>
      </c>
      <c r="D54" s="18" t="s">
        <v>177</v>
      </c>
      <c r="E54" s="10" t="s">
        <v>178</v>
      </c>
      <c r="F54" t="s">
        <v>38</v>
      </c>
      <c r="G54" t="s">
        <v>179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21" x14ac:dyDescent="0.3">
      <c r="A55" t="s">
        <v>180</v>
      </c>
      <c r="B55" t="s">
        <v>21</v>
      </c>
      <c r="C55" t="s">
        <v>22</v>
      </c>
      <c r="D55" s="18" t="s">
        <v>181</v>
      </c>
      <c r="E55" s="10" t="s">
        <v>182</v>
      </c>
      <c r="F55" t="s">
        <v>92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21" x14ac:dyDescent="0.3">
      <c r="A56" s="41" t="s">
        <v>724</v>
      </c>
      <c r="B56" t="s">
        <v>21</v>
      </c>
      <c r="C56" t="s">
        <v>22</v>
      </c>
      <c r="D56" s="10" t="s">
        <v>725</v>
      </c>
      <c r="E56" s="10" t="s">
        <v>726</v>
      </c>
      <c r="F56" s="10" t="s">
        <v>92</v>
      </c>
      <c r="G56" s="10" t="s">
        <v>727</v>
      </c>
      <c r="H56">
        <v>77</v>
      </c>
      <c r="I56">
        <v>32</v>
      </c>
      <c r="J56">
        <v>13</v>
      </c>
      <c r="K56">
        <v>0</v>
      </c>
      <c r="L56">
        <v>1</v>
      </c>
      <c r="T56" s="50">
        <f>238*1.3/60</f>
        <v>5.1566666666666672</v>
      </c>
      <c r="U56" s="51">
        <f>379*1.3/60</f>
        <v>8.211666666666666</v>
      </c>
    </row>
    <row r="57" spans="1:21" x14ac:dyDescent="0.3">
      <c r="A57" s="41" t="s">
        <v>724</v>
      </c>
      <c r="B57" t="s">
        <v>21</v>
      </c>
      <c r="C57" t="s">
        <v>22</v>
      </c>
      <c r="D57" s="10" t="s">
        <v>725</v>
      </c>
      <c r="E57" s="10" t="s">
        <v>726</v>
      </c>
      <c r="F57" s="10" t="s">
        <v>92</v>
      </c>
      <c r="G57" s="10" t="s">
        <v>728</v>
      </c>
      <c r="H57">
        <v>15</v>
      </c>
      <c r="I57">
        <v>6</v>
      </c>
      <c r="J57">
        <v>3</v>
      </c>
      <c r="K57">
        <v>0</v>
      </c>
      <c r="L57">
        <v>1</v>
      </c>
      <c r="T57" s="50">
        <f>318*1.3/60</f>
        <v>6.8900000000000006</v>
      </c>
      <c r="U57" s="51">
        <f>421*1.3/60</f>
        <v>9.1216666666666679</v>
      </c>
    </row>
    <row r="58" spans="1:21" x14ac:dyDescent="0.3">
      <c r="A58" t="s">
        <v>183</v>
      </c>
      <c r="B58" t="s">
        <v>28</v>
      </c>
      <c r="C58" t="s">
        <v>22</v>
      </c>
      <c r="D58" t="s">
        <v>184</v>
      </c>
      <c r="E58" t="s">
        <v>185</v>
      </c>
      <c r="F58" t="s">
        <v>186</v>
      </c>
      <c r="G58" t="s">
        <v>187</v>
      </c>
      <c r="H58">
        <v>0</v>
      </c>
      <c r="I58">
        <v>0</v>
      </c>
      <c r="J58">
        <v>0</v>
      </c>
      <c r="K58">
        <v>0</v>
      </c>
      <c r="L58">
        <v>0</v>
      </c>
      <c r="U58" s="1"/>
    </row>
    <row r="59" spans="1:21" x14ac:dyDescent="0.3">
      <c r="A59" s="41" t="s">
        <v>703</v>
      </c>
      <c r="G59" t="s">
        <v>704</v>
      </c>
      <c r="H59">
        <v>30</v>
      </c>
      <c r="I59">
        <v>0</v>
      </c>
      <c r="J59">
        <v>0</v>
      </c>
      <c r="K59">
        <v>0</v>
      </c>
      <c r="L59">
        <v>0</v>
      </c>
      <c r="T59" s="50">
        <f>356*1.3/60</f>
        <v>7.7133333333333338</v>
      </c>
      <c r="U59" s="1">
        <f>245*1.3/60</f>
        <v>5.3083333333333336</v>
      </c>
    </row>
    <row r="60" spans="1:21" x14ac:dyDescent="0.3">
      <c r="A60" s="41" t="s">
        <v>188</v>
      </c>
      <c r="B60" t="s">
        <v>21</v>
      </c>
      <c r="C60" t="s">
        <v>22</v>
      </c>
      <c r="D60" t="s">
        <v>189</v>
      </c>
      <c r="E60" t="s">
        <v>190</v>
      </c>
      <c r="F60" t="s">
        <v>191</v>
      </c>
      <c r="G60" t="s">
        <v>192</v>
      </c>
      <c r="H60">
        <v>80</v>
      </c>
      <c r="I60">
        <v>30</v>
      </c>
      <c r="J60">
        <v>15</v>
      </c>
      <c r="K60">
        <v>0</v>
      </c>
      <c r="L60">
        <v>3</v>
      </c>
      <c r="T60" s="50">
        <f>396*1.3/60</f>
        <v>8.5800000000000018</v>
      </c>
      <c r="U60" s="1">
        <f>240*1.3/60</f>
        <v>5.2</v>
      </c>
    </row>
    <row r="61" spans="1:21" x14ac:dyDescent="0.3">
      <c r="A61" t="s">
        <v>193</v>
      </c>
      <c r="B61" t="s">
        <v>28</v>
      </c>
      <c r="C61" t="s">
        <v>22</v>
      </c>
      <c r="D61" t="s">
        <v>194</v>
      </c>
      <c r="E61" t="s">
        <v>195</v>
      </c>
      <c r="F61" t="s">
        <v>43</v>
      </c>
      <c r="G61" t="s">
        <v>196</v>
      </c>
      <c r="H61">
        <v>0</v>
      </c>
      <c r="I61">
        <v>0</v>
      </c>
      <c r="J61">
        <v>0</v>
      </c>
      <c r="K61">
        <v>0</v>
      </c>
      <c r="L61">
        <v>0</v>
      </c>
      <c r="U61" s="1"/>
    </row>
    <row r="62" spans="1:21" x14ac:dyDescent="0.3">
      <c r="A62" t="s">
        <v>202</v>
      </c>
      <c r="B62" t="s">
        <v>28</v>
      </c>
      <c r="C62" t="s">
        <v>22</v>
      </c>
      <c r="D62" t="s">
        <v>198</v>
      </c>
      <c r="E62" t="s">
        <v>199</v>
      </c>
      <c r="F62" t="s">
        <v>92</v>
      </c>
      <c r="G62" t="s">
        <v>203</v>
      </c>
      <c r="H62">
        <v>0</v>
      </c>
      <c r="I62">
        <v>0</v>
      </c>
      <c r="J62">
        <v>0</v>
      </c>
      <c r="K62">
        <v>0</v>
      </c>
      <c r="L62">
        <v>0</v>
      </c>
      <c r="U62" s="1"/>
    </row>
    <row r="63" spans="1:21" x14ac:dyDescent="0.3">
      <c r="A63" s="2" t="s">
        <v>197</v>
      </c>
      <c r="B63" t="s">
        <v>21</v>
      </c>
      <c r="C63" t="s">
        <v>22</v>
      </c>
      <c r="D63" t="s">
        <v>198</v>
      </c>
      <c r="E63" t="s">
        <v>199</v>
      </c>
      <c r="F63" t="s">
        <v>200</v>
      </c>
      <c r="G63" t="s">
        <v>201</v>
      </c>
      <c r="H63">
        <v>0</v>
      </c>
      <c r="I63">
        <v>0</v>
      </c>
      <c r="J63">
        <v>0</v>
      </c>
      <c r="K63">
        <v>0</v>
      </c>
      <c r="L63">
        <v>0</v>
      </c>
      <c r="U63" s="1"/>
    </row>
    <row r="64" spans="1:21" x14ac:dyDescent="0.3">
      <c r="A64" s="10" t="s">
        <v>204</v>
      </c>
      <c r="B64" t="s">
        <v>21</v>
      </c>
      <c r="C64" t="s">
        <v>22</v>
      </c>
      <c r="D64" s="10" t="s">
        <v>205</v>
      </c>
      <c r="E64" s="10" t="s">
        <v>206</v>
      </c>
      <c r="F64" t="s">
        <v>92</v>
      </c>
      <c r="G64" t="s">
        <v>207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21" x14ac:dyDescent="0.3">
      <c r="A65" s="10" t="s">
        <v>204</v>
      </c>
      <c r="B65" t="s">
        <v>21</v>
      </c>
      <c r="C65" t="s">
        <v>22</v>
      </c>
      <c r="D65" s="10" t="s">
        <v>205</v>
      </c>
      <c r="E65" s="10" t="s">
        <v>206</v>
      </c>
      <c r="F65" t="s">
        <v>92</v>
      </c>
      <c r="G65" t="s">
        <v>709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21" x14ac:dyDescent="0.3">
      <c r="A66" t="s">
        <v>208</v>
      </c>
      <c r="B66" t="s">
        <v>21</v>
      </c>
      <c r="C66" t="s">
        <v>22</v>
      </c>
      <c r="D66" t="s">
        <v>209</v>
      </c>
      <c r="E66" t="s">
        <v>210</v>
      </c>
      <c r="F66" t="s">
        <v>211</v>
      </c>
      <c r="G66" t="s">
        <v>212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21" x14ac:dyDescent="0.3">
      <c r="A67" t="s">
        <v>208</v>
      </c>
      <c r="B67" t="s">
        <v>21</v>
      </c>
      <c r="C67" t="s">
        <v>22</v>
      </c>
      <c r="D67" t="s">
        <v>209</v>
      </c>
      <c r="E67" t="s">
        <v>213</v>
      </c>
      <c r="F67" t="s">
        <v>211</v>
      </c>
      <c r="G67" t="s">
        <v>214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21" x14ac:dyDescent="0.3">
      <c r="A68" t="s">
        <v>208</v>
      </c>
      <c r="B68" t="s">
        <v>21</v>
      </c>
      <c r="C68" t="s">
        <v>22</v>
      </c>
      <c r="D68" t="s">
        <v>209</v>
      </c>
      <c r="E68" t="s">
        <v>215</v>
      </c>
      <c r="F68" t="s">
        <v>211</v>
      </c>
      <c r="G68" t="s">
        <v>216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21" x14ac:dyDescent="0.3">
      <c r="A69" t="s">
        <v>208</v>
      </c>
      <c r="B69" t="s">
        <v>21</v>
      </c>
      <c r="C69" t="s">
        <v>22</v>
      </c>
      <c r="D69" t="s">
        <v>209</v>
      </c>
      <c r="E69" t="s">
        <v>213</v>
      </c>
      <c r="F69" t="s">
        <v>211</v>
      </c>
      <c r="G69" t="s">
        <v>217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21" x14ac:dyDescent="0.3">
      <c r="A70" t="s">
        <v>208</v>
      </c>
      <c r="B70" t="s">
        <v>21</v>
      </c>
      <c r="C70" t="s">
        <v>22</v>
      </c>
      <c r="D70" t="s">
        <v>209</v>
      </c>
      <c r="E70" t="s">
        <v>215</v>
      </c>
      <c r="F70" t="s">
        <v>211</v>
      </c>
      <c r="G70" t="s">
        <v>218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21" x14ac:dyDescent="0.3">
      <c r="A71" t="s">
        <v>219</v>
      </c>
      <c r="B71" t="s">
        <v>28</v>
      </c>
      <c r="C71" t="s">
        <v>22</v>
      </c>
      <c r="D71" t="s">
        <v>220</v>
      </c>
      <c r="E71" t="s">
        <v>221</v>
      </c>
      <c r="F71" t="s">
        <v>25</v>
      </c>
      <c r="G71" t="s">
        <v>163</v>
      </c>
      <c r="H71">
        <v>0</v>
      </c>
      <c r="I71">
        <v>0</v>
      </c>
      <c r="J71">
        <v>0</v>
      </c>
      <c r="K71">
        <v>0</v>
      </c>
      <c r="L71">
        <v>0</v>
      </c>
      <c r="U71" s="1"/>
    </row>
    <row r="72" spans="1:21" x14ac:dyDescent="0.3">
      <c r="A72" t="s">
        <v>222</v>
      </c>
      <c r="B72" t="s">
        <v>21</v>
      </c>
      <c r="C72" t="s">
        <v>29</v>
      </c>
      <c r="D72" s="43" t="s">
        <v>223</v>
      </c>
      <c r="E72" s="10" t="s">
        <v>224</v>
      </c>
      <c r="F72" t="s">
        <v>211</v>
      </c>
      <c r="G72" t="s">
        <v>192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21" x14ac:dyDescent="0.3">
      <c r="A73" t="s">
        <v>222</v>
      </c>
      <c r="B73" t="s">
        <v>21</v>
      </c>
      <c r="C73" t="s">
        <v>29</v>
      </c>
      <c r="D73" s="43" t="s">
        <v>223</v>
      </c>
      <c r="E73" s="10" t="s">
        <v>224</v>
      </c>
      <c r="F73" t="s">
        <v>211</v>
      </c>
      <c r="G73" t="s">
        <v>225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21" x14ac:dyDescent="0.3">
      <c r="A74" t="s">
        <v>222</v>
      </c>
      <c r="B74" t="s">
        <v>21</v>
      </c>
      <c r="C74" t="s">
        <v>29</v>
      </c>
      <c r="D74" s="43" t="s">
        <v>223</v>
      </c>
      <c r="E74" s="10" t="s">
        <v>224</v>
      </c>
      <c r="F74" t="s">
        <v>211</v>
      </c>
      <c r="G74" t="s">
        <v>26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21" x14ac:dyDescent="0.3">
      <c r="A75" t="s">
        <v>222</v>
      </c>
      <c r="B75" t="s">
        <v>21</v>
      </c>
      <c r="C75" t="s">
        <v>29</v>
      </c>
      <c r="D75" s="43" t="s">
        <v>223</v>
      </c>
      <c r="E75" s="10" t="s">
        <v>224</v>
      </c>
      <c r="F75" t="s">
        <v>211</v>
      </c>
      <c r="G75" t="s">
        <v>226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21" x14ac:dyDescent="0.3">
      <c r="A76" t="s">
        <v>222</v>
      </c>
      <c r="B76" t="s">
        <v>21</v>
      </c>
      <c r="C76" t="s">
        <v>29</v>
      </c>
      <c r="D76" s="43" t="s">
        <v>223</v>
      </c>
      <c r="E76" s="10" t="s">
        <v>224</v>
      </c>
      <c r="F76" t="s">
        <v>211</v>
      </c>
      <c r="G76" t="s">
        <v>227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21" x14ac:dyDescent="0.3">
      <c r="A77" t="s">
        <v>222</v>
      </c>
      <c r="B77" t="s">
        <v>21</v>
      </c>
      <c r="C77" t="s">
        <v>29</v>
      </c>
      <c r="D77" s="43" t="s">
        <v>223</v>
      </c>
      <c r="E77" s="10" t="s">
        <v>224</v>
      </c>
      <c r="F77" t="s">
        <v>211</v>
      </c>
      <c r="G77" t="s">
        <v>228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21" x14ac:dyDescent="0.3">
      <c r="A78" t="s">
        <v>222</v>
      </c>
      <c r="B78" t="s">
        <v>21</v>
      </c>
      <c r="C78" t="s">
        <v>29</v>
      </c>
      <c r="D78" s="43" t="s">
        <v>223</v>
      </c>
      <c r="E78" s="10" t="s">
        <v>224</v>
      </c>
      <c r="F78" t="s">
        <v>211</v>
      </c>
      <c r="G78" t="s">
        <v>229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21" x14ac:dyDescent="0.3">
      <c r="A79" t="s">
        <v>230</v>
      </c>
      <c r="B79" t="s">
        <v>28</v>
      </c>
      <c r="C79" t="s">
        <v>22</v>
      </c>
      <c r="D79" t="s">
        <v>231</v>
      </c>
      <c r="E79" t="s">
        <v>232</v>
      </c>
      <c r="F79" t="s">
        <v>92</v>
      </c>
      <c r="G79" t="s">
        <v>233</v>
      </c>
      <c r="H79">
        <v>0</v>
      </c>
      <c r="I79">
        <v>0</v>
      </c>
      <c r="J79">
        <v>0</v>
      </c>
      <c r="K79">
        <v>0</v>
      </c>
      <c r="L79">
        <v>0</v>
      </c>
      <c r="U79" s="1"/>
    </row>
    <row r="80" spans="1:21" x14ac:dyDescent="0.3">
      <c r="A80" t="s">
        <v>234</v>
      </c>
      <c r="B80" t="s">
        <v>21</v>
      </c>
      <c r="C80" t="s">
        <v>22</v>
      </c>
      <c r="D80" t="s">
        <v>235</v>
      </c>
      <c r="E80" t="s">
        <v>236</v>
      </c>
      <c r="F80" t="s">
        <v>38</v>
      </c>
      <c r="G80" t="s">
        <v>387</v>
      </c>
      <c r="H80">
        <v>0</v>
      </c>
      <c r="I80">
        <v>0</v>
      </c>
      <c r="J80">
        <v>0</v>
      </c>
      <c r="K80">
        <v>0</v>
      </c>
      <c r="L80">
        <v>0</v>
      </c>
      <c r="U80" s="1"/>
    </row>
    <row r="81" spans="1:21" x14ac:dyDescent="0.3">
      <c r="A81" t="s">
        <v>238</v>
      </c>
      <c r="B81" t="s">
        <v>21</v>
      </c>
      <c r="C81" t="s">
        <v>22</v>
      </c>
      <c r="D81" t="s">
        <v>239</v>
      </c>
      <c r="E81" t="s">
        <v>240</v>
      </c>
      <c r="F81" t="s">
        <v>92</v>
      </c>
      <c r="G81" t="s">
        <v>241</v>
      </c>
      <c r="H81">
        <v>0</v>
      </c>
      <c r="I81">
        <v>0</v>
      </c>
      <c r="J81">
        <v>0</v>
      </c>
      <c r="K81">
        <v>0</v>
      </c>
      <c r="L81">
        <v>0</v>
      </c>
      <c r="U81" s="1"/>
    </row>
    <row r="82" spans="1:21" x14ac:dyDescent="0.3">
      <c r="A82" t="s">
        <v>238</v>
      </c>
      <c r="B82" t="s">
        <v>21</v>
      </c>
      <c r="C82" t="s">
        <v>22</v>
      </c>
      <c r="D82" t="s">
        <v>239</v>
      </c>
      <c r="E82" t="s">
        <v>240</v>
      </c>
      <c r="F82" t="s">
        <v>92</v>
      </c>
      <c r="G82" t="s">
        <v>242</v>
      </c>
      <c r="H82">
        <v>0</v>
      </c>
      <c r="I82">
        <v>0</v>
      </c>
      <c r="J82">
        <v>0</v>
      </c>
      <c r="K82">
        <v>0</v>
      </c>
      <c r="L82">
        <v>0</v>
      </c>
      <c r="U82" s="1"/>
    </row>
    <row r="83" spans="1:21" x14ac:dyDescent="0.3">
      <c r="A83" t="s">
        <v>243</v>
      </c>
      <c r="B83" t="s">
        <v>28</v>
      </c>
      <c r="C83" t="s">
        <v>22</v>
      </c>
      <c r="D83" t="s">
        <v>244</v>
      </c>
      <c r="E83" t="s">
        <v>245</v>
      </c>
      <c r="F83" t="s">
        <v>246</v>
      </c>
      <c r="G83" t="s">
        <v>247</v>
      </c>
      <c r="H83">
        <v>0</v>
      </c>
      <c r="I83">
        <v>0</v>
      </c>
      <c r="J83">
        <v>0</v>
      </c>
      <c r="K83">
        <v>0</v>
      </c>
      <c r="L83">
        <v>0</v>
      </c>
      <c r="U83" s="1"/>
    </row>
    <row r="84" spans="1:21" x14ac:dyDescent="0.3">
      <c r="A84" s="41" t="s">
        <v>248</v>
      </c>
      <c r="B84" t="s">
        <v>21</v>
      </c>
      <c r="C84" t="s">
        <v>22</v>
      </c>
      <c r="D84" t="s">
        <v>249</v>
      </c>
      <c r="E84" t="s">
        <v>250</v>
      </c>
      <c r="F84" t="s">
        <v>251</v>
      </c>
      <c r="G84" t="s">
        <v>252</v>
      </c>
      <c r="H84">
        <v>40</v>
      </c>
      <c r="I84">
        <v>10</v>
      </c>
      <c r="J84">
        <v>1</v>
      </c>
      <c r="K84">
        <v>0</v>
      </c>
      <c r="L84">
        <v>1</v>
      </c>
      <c r="T84" s="50">
        <f>1039*1.3/60</f>
        <v>22.511666666666667</v>
      </c>
      <c r="U84" s="1">
        <f>928*1.3/60</f>
        <v>20.106666666666669</v>
      </c>
    </row>
    <row r="85" spans="1:21" x14ac:dyDescent="0.3">
      <c r="A85" s="41" t="s">
        <v>248</v>
      </c>
      <c r="B85" t="s">
        <v>21</v>
      </c>
      <c r="C85" t="s">
        <v>22</v>
      </c>
      <c r="D85" t="s">
        <v>249</v>
      </c>
      <c r="E85" t="s">
        <v>250</v>
      </c>
      <c r="F85" t="s">
        <v>251</v>
      </c>
      <c r="G85" t="s">
        <v>253</v>
      </c>
      <c r="H85">
        <v>100</v>
      </c>
      <c r="I85">
        <v>40</v>
      </c>
      <c r="J85">
        <v>20</v>
      </c>
      <c r="K85">
        <v>0</v>
      </c>
      <c r="L85">
        <v>6</v>
      </c>
      <c r="T85" s="50">
        <f>349*1.3/60</f>
        <v>7.5616666666666665</v>
      </c>
      <c r="U85" s="1">
        <f>238*1.3/60</f>
        <v>5.1566666666666672</v>
      </c>
    </row>
    <row r="86" spans="1:21" x14ac:dyDescent="0.3">
      <c r="A86" s="41" t="s">
        <v>248</v>
      </c>
      <c r="B86" t="s">
        <v>21</v>
      </c>
      <c r="C86" t="s">
        <v>22</v>
      </c>
      <c r="D86" t="s">
        <v>249</v>
      </c>
      <c r="E86" t="s">
        <v>250</v>
      </c>
      <c r="F86" t="s">
        <v>251</v>
      </c>
      <c r="G86" t="s">
        <v>254</v>
      </c>
      <c r="H86">
        <v>55</v>
      </c>
      <c r="I86">
        <v>20</v>
      </c>
      <c r="J86">
        <v>10</v>
      </c>
      <c r="K86">
        <v>0</v>
      </c>
      <c r="L86">
        <v>3</v>
      </c>
      <c r="T86" s="50">
        <f>699*1.3/60</f>
        <v>15.145000000000001</v>
      </c>
      <c r="U86" s="1">
        <f>686*1.3/60</f>
        <v>14.863333333333335</v>
      </c>
    </row>
    <row r="87" spans="1:21" x14ac:dyDescent="0.3">
      <c r="A87" t="s">
        <v>255</v>
      </c>
      <c r="B87" t="s">
        <v>21</v>
      </c>
      <c r="C87" t="s">
        <v>22</v>
      </c>
      <c r="D87" t="s">
        <v>256</v>
      </c>
      <c r="E87" t="s">
        <v>257</v>
      </c>
      <c r="F87" t="s">
        <v>92</v>
      </c>
      <c r="G87" t="s">
        <v>258</v>
      </c>
      <c r="H87">
        <v>0</v>
      </c>
      <c r="I87">
        <v>0</v>
      </c>
      <c r="J87">
        <v>0</v>
      </c>
      <c r="K87">
        <v>0</v>
      </c>
      <c r="L87">
        <v>0</v>
      </c>
      <c r="U87" s="1"/>
    </row>
    <row r="88" spans="1:21" x14ac:dyDescent="0.3">
      <c r="A88" s="42" t="s">
        <v>259</v>
      </c>
      <c r="B88" t="s">
        <v>21</v>
      </c>
      <c r="C88" t="s">
        <v>22</v>
      </c>
      <c r="D88" t="s">
        <v>260</v>
      </c>
      <c r="E88" t="s">
        <v>261</v>
      </c>
      <c r="F88" t="s">
        <v>211</v>
      </c>
      <c r="G88" t="s">
        <v>262</v>
      </c>
      <c r="H88">
        <v>60</v>
      </c>
      <c r="I88">
        <v>24</v>
      </c>
      <c r="J88">
        <v>12</v>
      </c>
      <c r="K88">
        <v>0</v>
      </c>
      <c r="L88">
        <v>0</v>
      </c>
      <c r="T88" s="50">
        <f>523*1.3/60</f>
        <v>11.331666666666667</v>
      </c>
      <c r="U88" s="1">
        <f>445*1.3/60</f>
        <v>9.6416666666666675</v>
      </c>
    </row>
    <row r="89" spans="1:21" x14ac:dyDescent="0.3">
      <c r="A89" t="s">
        <v>263</v>
      </c>
      <c r="B89" t="s">
        <v>21</v>
      </c>
      <c r="C89" t="s">
        <v>22</v>
      </c>
      <c r="D89" s="18" t="s">
        <v>264</v>
      </c>
      <c r="E89" t="s">
        <v>265</v>
      </c>
      <c r="F89" t="s">
        <v>266</v>
      </c>
      <c r="G89" t="s">
        <v>163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21" x14ac:dyDescent="0.3">
      <c r="A90" t="s">
        <v>263</v>
      </c>
      <c r="B90" t="s">
        <v>21</v>
      </c>
      <c r="C90" t="s">
        <v>22</v>
      </c>
      <c r="D90" s="18" t="s">
        <v>264</v>
      </c>
      <c r="E90" t="s">
        <v>265</v>
      </c>
      <c r="F90" t="s">
        <v>266</v>
      </c>
      <c r="G90" t="s">
        <v>268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21" x14ac:dyDescent="0.3">
      <c r="A91" t="s">
        <v>263</v>
      </c>
      <c r="B91" t="s">
        <v>21</v>
      </c>
      <c r="C91" t="s">
        <v>22</v>
      </c>
      <c r="D91" s="18" t="s">
        <v>264</v>
      </c>
      <c r="E91" t="s">
        <v>265</v>
      </c>
      <c r="F91" t="s">
        <v>266</v>
      </c>
      <c r="G91" t="s">
        <v>269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21" x14ac:dyDescent="0.3">
      <c r="A92" t="s">
        <v>263</v>
      </c>
      <c r="B92" t="s">
        <v>21</v>
      </c>
      <c r="C92" t="s">
        <v>22</v>
      </c>
      <c r="D92" s="18" t="s">
        <v>264</v>
      </c>
      <c r="E92" t="s">
        <v>265</v>
      </c>
      <c r="F92" t="s">
        <v>25</v>
      </c>
      <c r="G92" t="s">
        <v>270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21" x14ac:dyDescent="0.3">
      <c r="A93" t="s">
        <v>271</v>
      </c>
      <c r="B93" t="s">
        <v>53</v>
      </c>
      <c r="C93" t="s">
        <v>29</v>
      </c>
      <c r="D93" s="18" t="s">
        <v>272</v>
      </c>
      <c r="E93" s="10" t="s">
        <v>273</v>
      </c>
      <c r="F93" t="s">
        <v>56</v>
      </c>
      <c r="G93" t="s">
        <v>274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21" x14ac:dyDescent="0.3">
      <c r="A94" t="s">
        <v>275</v>
      </c>
      <c r="B94" t="s">
        <v>28</v>
      </c>
      <c r="C94" t="s">
        <v>22</v>
      </c>
      <c r="D94" t="s">
        <v>276</v>
      </c>
      <c r="E94" t="s">
        <v>277</v>
      </c>
      <c r="F94" t="s">
        <v>38</v>
      </c>
      <c r="G94" t="s">
        <v>278</v>
      </c>
      <c r="H94">
        <v>0</v>
      </c>
      <c r="I94">
        <v>0</v>
      </c>
      <c r="J94">
        <v>0</v>
      </c>
      <c r="K94">
        <v>0</v>
      </c>
      <c r="L94">
        <v>0</v>
      </c>
      <c r="U94" s="1"/>
    </row>
    <row r="95" spans="1:21" x14ac:dyDescent="0.3">
      <c r="A95" t="s">
        <v>275</v>
      </c>
      <c r="B95" t="s">
        <v>21</v>
      </c>
      <c r="C95" t="s">
        <v>22</v>
      </c>
      <c r="D95" t="s">
        <v>276</v>
      </c>
      <c r="E95" t="s">
        <v>277</v>
      </c>
      <c r="F95" t="s">
        <v>279</v>
      </c>
      <c r="G95" t="s">
        <v>280</v>
      </c>
      <c r="H95">
        <v>0</v>
      </c>
      <c r="I95">
        <v>0</v>
      </c>
      <c r="J95">
        <v>0</v>
      </c>
      <c r="K95">
        <v>0</v>
      </c>
      <c r="L95">
        <v>0</v>
      </c>
      <c r="U95" s="1"/>
    </row>
    <row r="96" spans="1:21" x14ac:dyDescent="0.3">
      <c r="A96" t="s">
        <v>275</v>
      </c>
      <c r="B96" t="s">
        <v>21</v>
      </c>
      <c r="C96" t="s">
        <v>22</v>
      </c>
      <c r="D96" t="s">
        <v>276</v>
      </c>
      <c r="E96" t="s">
        <v>277</v>
      </c>
      <c r="F96" t="s">
        <v>279</v>
      </c>
      <c r="G96" t="s">
        <v>281</v>
      </c>
      <c r="H96">
        <v>0</v>
      </c>
      <c r="I96">
        <v>0</v>
      </c>
      <c r="J96">
        <v>0</v>
      </c>
      <c r="K96">
        <v>0</v>
      </c>
      <c r="L96">
        <v>0</v>
      </c>
      <c r="U96" s="1"/>
    </row>
    <row r="97" spans="1:21" x14ac:dyDescent="0.3">
      <c r="A97" t="s">
        <v>275</v>
      </c>
      <c r="B97" t="s">
        <v>21</v>
      </c>
      <c r="C97" t="s">
        <v>22</v>
      </c>
      <c r="D97" t="s">
        <v>276</v>
      </c>
      <c r="E97" t="s">
        <v>277</v>
      </c>
      <c r="F97" t="s">
        <v>279</v>
      </c>
      <c r="G97" t="s">
        <v>282</v>
      </c>
      <c r="H97">
        <v>0</v>
      </c>
      <c r="I97">
        <v>0</v>
      </c>
      <c r="J97">
        <v>0</v>
      </c>
      <c r="K97">
        <v>0</v>
      </c>
      <c r="L97">
        <v>0</v>
      </c>
      <c r="U97" s="1"/>
    </row>
    <row r="98" spans="1:21" x14ac:dyDescent="0.3">
      <c r="A98" t="s">
        <v>283</v>
      </c>
      <c r="B98" t="s">
        <v>28</v>
      </c>
      <c r="C98" t="s">
        <v>22</v>
      </c>
      <c r="D98" s="18" t="s">
        <v>284</v>
      </c>
      <c r="E98" s="10" t="s">
        <v>285</v>
      </c>
      <c r="F98" t="s">
        <v>32</v>
      </c>
      <c r="G98" t="s">
        <v>286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21" x14ac:dyDescent="0.3">
      <c r="A99" t="s">
        <v>287</v>
      </c>
      <c r="B99" t="s">
        <v>21</v>
      </c>
      <c r="C99" t="s">
        <v>29</v>
      </c>
      <c r="D99" s="18" t="s">
        <v>288</v>
      </c>
      <c r="E99" s="10" t="s">
        <v>289</v>
      </c>
      <c r="F99" t="s">
        <v>25</v>
      </c>
      <c r="G99" t="s">
        <v>290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21" x14ac:dyDescent="0.3">
      <c r="A100" t="s">
        <v>291</v>
      </c>
      <c r="B100" t="s">
        <v>21</v>
      </c>
      <c r="C100" t="s">
        <v>22</v>
      </c>
      <c r="D100" s="18" t="s">
        <v>292</v>
      </c>
      <c r="E100" s="10" t="s">
        <v>293</v>
      </c>
      <c r="F100" t="s">
        <v>25</v>
      </c>
      <c r="G100" t="s">
        <v>294</v>
      </c>
      <c r="H100">
        <v>0</v>
      </c>
      <c r="I100">
        <v>0</v>
      </c>
      <c r="J100">
        <v>0</v>
      </c>
      <c r="K100">
        <v>0</v>
      </c>
      <c r="L100">
        <v>0</v>
      </c>
      <c r="U100" s="1"/>
    </row>
    <row r="101" spans="1:21" x14ac:dyDescent="0.3">
      <c r="A101" s="41" t="s">
        <v>298</v>
      </c>
      <c r="B101" t="s">
        <v>21</v>
      </c>
      <c r="C101" t="s">
        <v>22</v>
      </c>
      <c r="D101" t="s">
        <v>299</v>
      </c>
      <c r="E101" t="s">
        <v>300</v>
      </c>
      <c r="F101" t="s">
        <v>301</v>
      </c>
      <c r="G101" t="s">
        <v>302</v>
      </c>
      <c r="H101">
        <v>65</v>
      </c>
      <c r="I101">
        <v>0</v>
      </c>
      <c r="J101">
        <v>0</v>
      </c>
      <c r="K101">
        <v>0</v>
      </c>
      <c r="L101">
        <v>0</v>
      </c>
      <c r="T101" s="50">
        <f>112*1.3/60</f>
        <v>2.4266666666666667</v>
      </c>
      <c r="U101" s="1">
        <f>189*1.3/60</f>
        <v>4.0950000000000006</v>
      </c>
    </row>
    <row r="102" spans="1:21" x14ac:dyDescent="0.3">
      <c r="A102" t="s">
        <v>295</v>
      </c>
      <c r="B102" t="s">
        <v>28</v>
      </c>
      <c r="C102" t="s">
        <v>29</v>
      </c>
      <c r="D102" s="18" t="s">
        <v>296</v>
      </c>
      <c r="E102" s="10" t="s">
        <v>297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21" x14ac:dyDescent="0.3">
      <c r="A103" s="41" t="s">
        <v>303</v>
      </c>
      <c r="B103" t="s">
        <v>21</v>
      </c>
      <c r="C103" t="s">
        <v>29</v>
      </c>
      <c r="D103" t="s">
        <v>304</v>
      </c>
      <c r="E103" t="s">
        <v>305</v>
      </c>
      <c r="F103" t="s">
        <v>306</v>
      </c>
      <c r="G103" t="s">
        <v>307</v>
      </c>
      <c r="H103">
        <v>100</v>
      </c>
      <c r="I103">
        <v>0</v>
      </c>
      <c r="J103">
        <v>0</v>
      </c>
      <c r="K103">
        <v>0</v>
      </c>
      <c r="L103">
        <v>0</v>
      </c>
      <c r="T103" s="50">
        <f>492*1.3/60</f>
        <v>10.66</v>
      </c>
      <c r="U103" s="1">
        <f>326*1.3/60</f>
        <v>7.0633333333333335</v>
      </c>
    </row>
    <row r="104" spans="1:21" x14ac:dyDescent="0.3">
      <c r="A104" s="41" t="s">
        <v>303</v>
      </c>
      <c r="B104" t="s">
        <v>21</v>
      </c>
      <c r="C104" t="s">
        <v>29</v>
      </c>
      <c r="D104" t="s">
        <v>304</v>
      </c>
      <c r="E104" t="s">
        <v>305</v>
      </c>
      <c r="F104" t="s">
        <v>306</v>
      </c>
      <c r="G104" t="s">
        <v>719</v>
      </c>
      <c r="H104">
        <v>60</v>
      </c>
      <c r="I104">
        <v>0</v>
      </c>
      <c r="J104">
        <v>0</v>
      </c>
      <c r="K104">
        <v>0</v>
      </c>
      <c r="L104">
        <v>0</v>
      </c>
      <c r="T104" s="50">
        <f>439*1.3/60</f>
        <v>9.5116666666666667</v>
      </c>
      <c r="U104" s="1">
        <f>325*1.3/60</f>
        <v>7.041666666666667</v>
      </c>
    </row>
    <row r="105" spans="1:21" x14ac:dyDescent="0.3">
      <c r="A105" t="s">
        <v>308</v>
      </c>
      <c r="B105" t="s">
        <v>28</v>
      </c>
      <c r="C105" t="s">
        <v>22</v>
      </c>
      <c r="D105" s="18" t="s">
        <v>309</v>
      </c>
      <c r="E105" s="10" t="s">
        <v>310</v>
      </c>
      <c r="F105" t="s">
        <v>92</v>
      </c>
      <c r="G105" t="s">
        <v>311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21" x14ac:dyDescent="0.3">
      <c r="A106" t="s">
        <v>312</v>
      </c>
      <c r="B106" t="s">
        <v>21</v>
      </c>
      <c r="C106" t="s">
        <v>22</v>
      </c>
      <c r="D106" t="s">
        <v>313</v>
      </c>
      <c r="E106" t="s">
        <v>314</v>
      </c>
      <c r="F106" t="s">
        <v>315</v>
      </c>
      <c r="G106" t="s">
        <v>316</v>
      </c>
      <c r="H106">
        <v>0</v>
      </c>
      <c r="I106">
        <v>0</v>
      </c>
      <c r="J106">
        <v>0</v>
      </c>
      <c r="K106">
        <v>0</v>
      </c>
      <c r="L106">
        <v>0</v>
      </c>
      <c r="Q106" s="1"/>
      <c r="R106" s="1"/>
      <c r="S106" s="1"/>
      <c r="T106" s="1"/>
      <c r="U106" s="1"/>
    </row>
    <row r="107" spans="1:21" x14ac:dyDescent="0.3">
      <c r="A107" s="41" t="s">
        <v>317</v>
      </c>
      <c r="B107" t="s">
        <v>21</v>
      </c>
      <c r="C107" t="s">
        <v>22</v>
      </c>
      <c r="D107" t="s">
        <v>318</v>
      </c>
      <c r="E107" t="s">
        <v>319</v>
      </c>
      <c r="F107" t="s">
        <v>320</v>
      </c>
      <c r="G107" t="s">
        <v>699</v>
      </c>
      <c r="H107">
        <v>40</v>
      </c>
      <c r="I107">
        <v>0</v>
      </c>
      <c r="J107">
        <v>0</v>
      </c>
      <c r="K107">
        <v>0</v>
      </c>
      <c r="L107">
        <v>0</v>
      </c>
      <c r="T107" s="50">
        <f>500*1.3/60</f>
        <v>10.833333333333334</v>
      </c>
      <c r="U107" s="1">
        <f>430*1.3/60</f>
        <v>9.3166666666666664</v>
      </c>
    </row>
    <row r="108" spans="1:21" x14ac:dyDescent="0.3">
      <c r="A108" s="41" t="s">
        <v>317</v>
      </c>
      <c r="B108" t="s">
        <v>21</v>
      </c>
      <c r="C108" t="s">
        <v>22</v>
      </c>
      <c r="D108" t="s">
        <v>318</v>
      </c>
      <c r="E108" t="s">
        <v>319</v>
      </c>
      <c r="F108" t="s">
        <v>320</v>
      </c>
      <c r="G108" t="s">
        <v>714</v>
      </c>
      <c r="H108">
        <v>30</v>
      </c>
      <c r="I108">
        <v>0</v>
      </c>
      <c r="J108">
        <v>0</v>
      </c>
      <c r="K108">
        <v>0</v>
      </c>
      <c r="L108">
        <v>0</v>
      </c>
      <c r="T108" s="50">
        <f>426*1.3/60</f>
        <v>9.23</v>
      </c>
      <c r="U108" s="1">
        <f>308*1.3/60</f>
        <v>6.6733333333333338</v>
      </c>
    </row>
    <row r="109" spans="1:21" x14ac:dyDescent="0.3">
      <c r="A109" t="s">
        <v>322</v>
      </c>
      <c r="B109" t="s">
        <v>21</v>
      </c>
      <c r="D109" s="10" t="s">
        <v>323</v>
      </c>
      <c r="E109" s="10" t="s">
        <v>324</v>
      </c>
      <c r="F109" t="s">
        <v>32</v>
      </c>
      <c r="G109" t="s">
        <v>226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21" x14ac:dyDescent="0.3">
      <c r="A110" t="s">
        <v>322</v>
      </c>
      <c r="B110" t="s">
        <v>21</v>
      </c>
      <c r="D110" s="10" t="s">
        <v>323</v>
      </c>
      <c r="E110" s="10" t="s">
        <v>324</v>
      </c>
      <c r="F110" t="s">
        <v>32</v>
      </c>
      <c r="G110" t="s">
        <v>86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21" x14ac:dyDescent="0.3">
      <c r="A111" t="s">
        <v>325</v>
      </c>
      <c r="B111" t="s">
        <v>21</v>
      </c>
      <c r="C111" t="s">
        <v>29</v>
      </c>
      <c r="D111" s="43" t="s">
        <v>326</v>
      </c>
      <c r="E111" t="s">
        <v>327</v>
      </c>
      <c r="F111" t="s">
        <v>328</v>
      </c>
      <c r="G111" t="s">
        <v>329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21" x14ac:dyDescent="0.3">
      <c r="A112" s="41" t="s">
        <v>330</v>
      </c>
      <c r="B112" t="s">
        <v>53</v>
      </c>
      <c r="C112" t="s">
        <v>29</v>
      </c>
      <c r="D112" t="s">
        <v>331</v>
      </c>
      <c r="E112" t="s">
        <v>332</v>
      </c>
      <c r="F112" t="s">
        <v>56</v>
      </c>
      <c r="G112" t="s">
        <v>262</v>
      </c>
      <c r="H112">
        <v>10</v>
      </c>
      <c r="I112">
        <v>0</v>
      </c>
      <c r="J112">
        <v>0</v>
      </c>
      <c r="K112">
        <v>0</v>
      </c>
      <c r="L112">
        <v>0</v>
      </c>
      <c r="T112" s="51">
        <f>523*1.3/60</f>
        <v>11.331666666666667</v>
      </c>
      <c r="U112" s="51">
        <f>445*1.3/60</f>
        <v>9.6416666666666675</v>
      </c>
    </row>
    <row r="113" spans="1:21" x14ac:dyDescent="0.3">
      <c r="A113" s="41" t="s">
        <v>330</v>
      </c>
      <c r="B113" t="s">
        <v>53</v>
      </c>
      <c r="C113" t="s">
        <v>29</v>
      </c>
      <c r="D113" t="s">
        <v>331</v>
      </c>
      <c r="E113" t="s">
        <v>332</v>
      </c>
      <c r="F113" t="s">
        <v>56</v>
      </c>
      <c r="G113" t="s">
        <v>333</v>
      </c>
      <c r="H113">
        <v>40</v>
      </c>
      <c r="I113">
        <v>0</v>
      </c>
      <c r="J113">
        <v>0</v>
      </c>
      <c r="K113">
        <v>0</v>
      </c>
      <c r="L113">
        <v>0</v>
      </c>
      <c r="T113" s="51">
        <f>262*1.3/60</f>
        <v>5.6766666666666667</v>
      </c>
      <c r="U113" s="51">
        <f>403*1.3/60</f>
        <v>8.7316666666666656</v>
      </c>
    </row>
    <row r="114" spans="1:21" x14ac:dyDescent="0.3">
      <c r="A114" s="41" t="s">
        <v>330</v>
      </c>
      <c r="B114" t="s">
        <v>53</v>
      </c>
      <c r="C114" t="s">
        <v>29</v>
      </c>
      <c r="D114" t="s">
        <v>331</v>
      </c>
      <c r="E114" t="s">
        <v>332</v>
      </c>
      <c r="F114" t="s">
        <v>56</v>
      </c>
      <c r="G114" t="s">
        <v>334</v>
      </c>
      <c r="H114">
        <v>40</v>
      </c>
      <c r="I114">
        <v>0</v>
      </c>
      <c r="J114">
        <v>0</v>
      </c>
      <c r="K114">
        <v>0</v>
      </c>
      <c r="L114">
        <v>0</v>
      </c>
      <c r="T114" s="51">
        <f>454*1.3/60</f>
        <v>9.8366666666666678</v>
      </c>
      <c r="U114" s="51">
        <f>367*1.3/60</f>
        <v>7.9516666666666671</v>
      </c>
    </row>
    <row r="115" spans="1:21" x14ac:dyDescent="0.3">
      <c r="A115" s="41" t="s">
        <v>330</v>
      </c>
      <c r="B115" t="s">
        <v>53</v>
      </c>
      <c r="C115" t="s">
        <v>29</v>
      </c>
      <c r="D115" t="s">
        <v>331</v>
      </c>
      <c r="E115" t="s">
        <v>332</v>
      </c>
      <c r="F115" t="s">
        <v>56</v>
      </c>
      <c r="G115" t="s">
        <v>335</v>
      </c>
      <c r="H115">
        <v>12</v>
      </c>
      <c r="I115">
        <v>0</v>
      </c>
      <c r="J115">
        <v>0</v>
      </c>
      <c r="K115">
        <v>0</v>
      </c>
      <c r="L115">
        <v>0</v>
      </c>
      <c r="T115" s="51">
        <f>305*1.3/60</f>
        <v>6.6083333333333334</v>
      </c>
      <c r="U115" s="1">
        <f>193*1.3/60</f>
        <v>4.1816666666666666</v>
      </c>
    </row>
    <row r="116" spans="1:21" x14ac:dyDescent="0.3">
      <c r="A116" s="41" t="s">
        <v>330</v>
      </c>
      <c r="B116" t="s">
        <v>53</v>
      </c>
      <c r="C116" t="s">
        <v>29</v>
      </c>
      <c r="D116" t="s">
        <v>331</v>
      </c>
      <c r="E116" t="s">
        <v>332</v>
      </c>
      <c r="F116" t="s">
        <v>56</v>
      </c>
      <c r="G116" t="s">
        <v>268</v>
      </c>
      <c r="H116">
        <v>20</v>
      </c>
      <c r="I116">
        <v>0</v>
      </c>
      <c r="J116">
        <v>0</v>
      </c>
      <c r="K116">
        <v>0</v>
      </c>
      <c r="L116">
        <v>0</v>
      </c>
      <c r="T116" s="51">
        <f>193*1.3/60</f>
        <v>4.1816666666666666</v>
      </c>
      <c r="U116" s="1">
        <f>179*1.3/60</f>
        <v>3.8783333333333334</v>
      </c>
    </row>
    <row r="117" spans="1:21" x14ac:dyDescent="0.3">
      <c r="A117" s="41" t="s">
        <v>330</v>
      </c>
      <c r="B117" t="s">
        <v>53</v>
      </c>
      <c r="C117" t="s">
        <v>29</v>
      </c>
      <c r="D117" t="s">
        <v>331</v>
      </c>
      <c r="E117" t="s">
        <v>332</v>
      </c>
      <c r="F117" t="s">
        <v>56</v>
      </c>
      <c r="G117" t="s">
        <v>519</v>
      </c>
      <c r="H117">
        <v>18</v>
      </c>
      <c r="I117">
        <v>0</v>
      </c>
      <c r="J117">
        <v>0</v>
      </c>
      <c r="K117">
        <v>0</v>
      </c>
      <c r="L117">
        <v>0</v>
      </c>
      <c r="T117" s="51">
        <f>455*1.3/60</f>
        <v>9.8583333333333325</v>
      </c>
      <c r="U117" s="1">
        <f>596*1.3/60</f>
        <v>12.913333333333334</v>
      </c>
    </row>
    <row r="118" spans="1:21" x14ac:dyDescent="0.3">
      <c r="A118" t="s">
        <v>337</v>
      </c>
      <c r="B118" t="s">
        <v>21</v>
      </c>
      <c r="C118" t="s">
        <v>22</v>
      </c>
      <c r="D118" s="18" t="s">
        <v>338</v>
      </c>
      <c r="E118" s="10">
        <v>7316085780</v>
      </c>
      <c r="F118" t="s">
        <v>211</v>
      </c>
      <c r="G118" t="s">
        <v>339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21" x14ac:dyDescent="0.3">
      <c r="A119" t="s">
        <v>340</v>
      </c>
      <c r="B119" t="s">
        <v>21</v>
      </c>
      <c r="C119" t="s">
        <v>29</v>
      </c>
      <c r="D119" s="18" t="s">
        <v>341</v>
      </c>
      <c r="E119" s="10"/>
      <c r="F119" t="s">
        <v>25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21" x14ac:dyDescent="0.3">
      <c r="A120" s="41" t="s">
        <v>342</v>
      </c>
      <c r="B120" t="s">
        <v>53</v>
      </c>
      <c r="C120" t="s">
        <v>29</v>
      </c>
      <c r="D120" s="18" t="s">
        <v>343</v>
      </c>
      <c r="E120" s="10" t="s">
        <v>344</v>
      </c>
      <c r="F120" t="s">
        <v>56</v>
      </c>
      <c r="G120" t="s">
        <v>321</v>
      </c>
      <c r="H120">
        <v>136</v>
      </c>
      <c r="I120">
        <v>0</v>
      </c>
      <c r="J120">
        <v>0</v>
      </c>
      <c r="K120">
        <v>0</v>
      </c>
      <c r="L120">
        <v>0</v>
      </c>
      <c r="T120" s="50">
        <f>463*1.3/60</f>
        <v>10.031666666666666</v>
      </c>
      <c r="U120" s="51">
        <f>393*1.3/60</f>
        <v>8.5150000000000006</v>
      </c>
    </row>
    <row r="121" spans="1:21" x14ac:dyDescent="0.3">
      <c r="A121" s="41" t="s">
        <v>345</v>
      </c>
      <c r="B121" t="s">
        <v>53</v>
      </c>
      <c r="C121" t="s">
        <v>22</v>
      </c>
      <c r="D121" t="s">
        <v>346</v>
      </c>
      <c r="E121" t="s">
        <v>347</v>
      </c>
      <c r="F121" t="s">
        <v>56</v>
      </c>
      <c r="G121" t="s">
        <v>348</v>
      </c>
      <c r="H121">
        <v>7</v>
      </c>
      <c r="I121">
        <v>0</v>
      </c>
      <c r="J121">
        <v>0</v>
      </c>
      <c r="K121">
        <v>0</v>
      </c>
      <c r="L121">
        <v>0</v>
      </c>
      <c r="T121" s="50">
        <f>55*1.3/60</f>
        <v>1.1916666666666667</v>
      </c>
      <c r="U121" s="1">
        <f>196*1.3/60</f>
        <v>4.246666666666667</v>
      </c>
    </row>
    <row r="122" spans="1:21" x14ac:dyDescent="0.3">
      <c r="A122" s="41" t="s">
        <v>349</v>
      </c>
      <c r="B122" t="s">
        <v>21</v>
      </c>
      <c r="C122" t="s">
        <v>29</v>
      </c>
      <c r="D122" t="s">
        <v>350</v>
      </c>
      <c r="E122" t="s">
        <v>351</v>
      </c>
      <c r="F122" t="s">
        <v>92</v>
      </c>
      <c r="G122" t="s">
        <v>254</v>
      </c>
      <c r="H122">
        <v>45</v>
      </c>
      <c r="I122">
        <v>0</v>
      </c>
      <c r="J122">
        <v>0</v>
      </c>
      <c r="K122">
        <v>0</v>
      </c>
      <c r="L122">
        <v>0</v>
      </c>
      <c r="T122" s="50">
        <f>699*1.3/60</f>
        <v>15.145000000000001</v>
      </c>
      <c r="U122" s="1">
        <f>686*1.3/60</f>
        <v>14.863333333333335</v>
      </c>
    </row>
    <row r="123" spans="1:21" x14ac:dyDescent="0.3">
      <c r="A123" t="s">
        <v>349</v>
      </c>
      <c r="B123" t="s">
        <v>21</v>
      </c>
      <c r="C123" t="s">
        <v>29</v>
      </c>
      <c r="D123" t="s">
        <v>350</v>
      </c>
      <c r="E123" t="s">
        <v>351</v>
      </c>
      <c r="F123" t="s">
        <v>92</v>
      </c>
      <c r="G123" t="s">
        <v>353</v>
      </c>
      <c r="H123">
        <v>0</v>
      </c>
      <c r="I123">
        <v>0</v>
      </c>
      <c r="J123">
        <v>0</v>
      </c>
      <c r="K123">
        <v>0</v>
      </c>
      <c r="L123">
        <v>0</v>
      </c>
      <c r="U123" s="1"/>
    </row>
    <row r="124" spans="1:21" x14ac:dyDescent="0.3">
      <c r="A124" s="41" t="s">
        <v>349</v>
      </c>
      <c r="B124" t="s">
        <v>21</v>
      </c>
      <c r="C124" t="s">
        <v>29</v>
      </c>
      <c r="D124" t="s">
        <v>350</v>
      </c>
      <c r="E124" t="s">
        <v>351</v>
      </c>
      <c r="F124" t="s">
        <v>92</v>
      </c>
      <c r="G124" t="s">
        <v>352</v>
      </c>
      <c r="H124">
        <v>35</v>
      </c>
      <c r="I124">
        <v>0</v>
      </c>
      <c r="J124">
        <v>0</v>
      </c>
      <c r="K124">
        <v>0</v>
      </c>
      <c r="L124">
        <v>0</v>
      </c>
      <c r="T124" s="50">
        <f>336*1.3/60</f>
        <v>7.28</v>
      </c>
      <c r="U124" s="1">
        <f>354*1.3/60</f>
        <v>7.67</v>
      </c>
    </row>
    <row r="125" spans="1:21" x14ac:dyDescent="0.3">
      <c r="A125" t="s">
        <v>349</v>
      </c>
      <c r="B125" t="s">
        <v>21</v>
      </c>
      <c r="C125" t="s">
        <v>29</v>
      </c>
      <c r="D125" t="s">
        <v>350</v>
      </c>
      <c r="E125" t="s">
        <v>351</v>
      </c>
      <c r="F125" t="s">
        <v>92</v>
      </c>
      <c r="G125" t="s">
        <v>354</v>
      </c>
      <c r="H125">
        <v>0</v>
      </c>
      <c r="I125">
        <v>0</v>
      </c>
      <c r="J125">
        <v>0</v>
      </c>
      <c r="K125">
        <v>0</v>
      </c>
      <c r="L125">
        <v>0</v>
      </c>
      <c r="U125" s="1"/>
    </row>
    <row r="126" spans="1:21" x14ac:dyDescent="0.3">
      <c r="A126" t="s">
        <v>349</v>
      </c>
      <c r="B126" t="s">
        <v>21</v>
      </c>
      <c r="C126" t="s">
        <v>29</v>
      </c>
      <c r="D126" t="s">
        <v>350</v>
      </c>
      <c r="E126" t="s">
        <v>351</v>
      </c>
      <c r="F126" t="s">
        <v>92</v>
      </c>
      <c r="G126" t="s">
        <v>86</v>
      </c>
      <c r="H126">
        <v>0</v>
      </c>
      <c r="I126">
        <v>0</v>
      </c>
      <c r="J126">
        <v>0</v>
      </c>
      <c r="K126">
        <v>0</v>
      </c>
      <c r="L126">
        <v>0</v>
      </c>
      <c r="U126" s="1"/>
    </row>
    <row r="127" spans="1:21" x14ac:dyDescent="0.3">
      <c r="A127" t="s">
        <v>355</v>
      </c>
      <c r="B127" t="s">
        <v>53</v>
      </c>
      <c r="C127" t="s">
        <v>29</v>
      </c>
      <c r="D127" t="s">
        <v>356</v>
      </c>
      <c r="E127" t="s">
        <v>357</v>
      </c>
      <c r="F127" t="s">
        <v>56</v>
      </c>
      <c r="G127" t="s">
        <v>358</v>
      </c>
      <c r="H127">
        <v>0</v>
      </c>
      <c r="I127">
        <v>0</v>
      </c>
      <c r="J127">
        <v>0</v>
      </c>
      <c r="K127">
        <v>0</v>
      </c>
      <c r="L127">
        <v>0</v>
      </c>
      <c r="U127" s="1"/>
    </row>
    <row r="128" spans="1:21" x14ac:dyDescent="0.3">
      <c r="A128" t="s">
        <v>359</v>
      </c>
      <c r="B128" t="s">
        <v>21</v>
      </c>
      <c r="C128" t="s">
        <v>22</v>
      </c>
      <c r="D128" t="s">
        <v>360</v>
      </c>
      <c r="E128" t="s">
        <v>361</v>
      </c>
      <c r="F128" t="s">
        <v>142</v>
      </c>
      <c r="G128" t="s">
        <v>362</v>
      </c>
      <c r="H128">
        <v>0</v>
      </c>
      <c r="I128">
        <v>0</v>
      </c>
      <c r="J128">
        <v>0</v>
      </c>
      <c r="K128">
        <v>0</v>
      </c>
      <c r="L128">
        <v>0</v>
      </c>
      <c r="U128" s="1"/>
    </row>
    <row r="129" spans="1:21" x14ac:dyDescent="0.3">
      <c r="A129" t="s">
        <v>363</v>
      </c>
      <c r="B129" t="s">
        <v>28</v>
      </c>
      <c r="C129" t="s">
        <v>22</v>
      </c>
      <c r="D129" t="s">
        <v>364</v>
      </c>
      <c r="E129" t="s">
        <v>365</v>
      </c>
      <c r="F129" t="s">
        <v>92</v>
      </c>
      <c r="G129" t="s">
        <v>366</v>
      </c>
      <c r="H129">
        <v>0</v>
      </c>
      <c r="I129">
        <v>0</v>
      </c>
      <c r="J129">
        <v>0</v>
      </c>
      <c r="K129">
        <v>0</v>
      </c>
      <c r="L129">
        <v>0</v>
      </c>
      <c r="U129" s="1"/>
    </row>
    <row r="130" spans="1:21" x14ac:dyDescent="0.3">
      <c r="A130" s="41" t="s">
        <v>367</v>
      </c>
      <c r="B130" t="s">
        <v>53</v>
      </c>
      <c r="C130" t="s">
        <v>29</v>
      </c>
      <c r="D130" t="s">
        <v>368</v>
      </c>
      <c r="E130" t="s">
        <v>369</v>
      </c>
      <c r="F130" t="s">
        <v>56</v>
      </c>
      <c r="G130" t="s">
        <v>370</v>
      </c>
      <c r="H130">
        <v>10</v>
      </c>
      <c r="I130">
        <v>0</v>
      </c>
      <c r="J130">
        <v>0</v>
      </c>
      <c r="K130">
        <v>0</v>
      </c>
      <c r="L130">
        <v>0</v>
      </c>
      <c r="T130" s="50">
        <v>0</v>
      </c>
      <c r="U130" s="1">
        <f>142*1.3/60</f>
        <v>3.0766666666666667</v>
      </c>
    </row>
    <row r="131" spans="1:21" x14ac:dyDescent="0.3">
      <c r="A131" t="s">
        <v>371</v>
      </c>
      <c r="B131" t="s">
        <v>21</v>
      </c>
      <c r="C131" t="s">
        <v>22</v>
      </c>
      <c r="D131" t="s">
        <v>372</v>
      </c>
      <c r="E131" t="s">
        <v>373</v>
      </c>
      <c r="F131" t="s">
        <v>374</v>
      </c>
      <c r="G131" t="s">
        <v>192</v>
      </c>
      <c r="H131">
        <v>0</v>
      </c>
      <c r="I131">
        <v>0</v>
      </c>
      <c r="J131">
        <v>0</v>
      </c>
      <c r="K131">
        <v>0</v>
      </c>
      <c r="L131">
        <v>0</v>
      </c>
      <c r="U131" s="1"/>
    </row>
    <row r="132" spans="1:21" x14ac:dyDescent="0.3">
      <c r="A132" t="s">
        <v>375</v>
      </c>
      <c r="B132" t="s">
        <v>21</v>
      </c>
      <c r="C132" t="s">
        <v>22</v>
      </c>
      <c r="D132" t="s">
        <v>376</v>
      </c>
      <c r="E132" t="s">
        <v>377</v>
      </c>
      <c r="F132" t="s">
        <v>137</v>
      </c>
      <c r="G132" t="s">
        <v>378</v>
      </c>
      <c r="H132">
        <v>0</v>
      </c>
      <c r="I132">
        <v>0</v>
      </c>
      <c r="J132">
        <v>0</v>
      </c>
      <c r="K132">
        <v>0</v>
      </c>
      <c r="L132">
        <v>0</v>
      </c>
      <c r="U132" s="1"/>
    </row>
    <row r="133" spans="1:21" x14ac:dyDescent="0.3">
      <c r="A133" t="s">
        <v>375</v>
      </c>
      <c r="B133" t="s">
        <v>21</v>
      </c>
      <c r="C133" t="s">
        <v>22</v>
      </c>
      <c r="D133" t="s">
        <v>376</v>
      </c>
      <c r="E133" t="s">
        <v>377</v>
      </c>
      <c r="F133" t="s">
        <v>137</v>
      </c>
      <c r="G133" t="s">
        <v>379</v>
      </c>
      <c r="H133">
        <v>0</v>
      </c>
      <c r="I133">
        <v>0</v>
      </c>
      <c r="J133">
        <v>0</v>
      </c>
      <c r="K133">
        <v>0</v>
      </c>
      <c r="L133">
        <v>0</v>
      </c>
      <c r="U133" s="1"/>
    </row>
    <row r="134" spans="1:21" x14ac:dyDescent="0.3">
      <c r="A134" s="2" t="s">
        <v>375</v>
      </c>
      <c r="B134" t="s">
        <v>21</v>
      </c>
      <c r="C134" t="s">
        <v>22</v>
      </c>
      <c r="D134" t="s">
        <v>376</v>
      </c>
      <c r="E134" t="s">
        <v>377</v>
      </c>
      <c r="F134" t="s">
        <v>137</v>
      </c>
      <c r="G134" t="s">
        <v>380</v>
      </c>
      <c r="H134">
        <v>0</v>
      </c>
      <c r="I134">
        <v>0</v>
      </c>
      <c r="J134">
        <v>0</v>
      </c>
      <c r="K134">
        <v>0</v>
      </c>
      <c r="L134">
        <v>0</v>
      </c>
      <c r="U134" s="1"/>
    </row>
    <row r="135" spans="1:21" x14ac:dyDescent="0.3">
      <c r="A135" s="2" t="s">
        <v>381</v>
      </c>
      <c r="B135" t="s">
        <v>21</v>
      </c>
      <c r="C135" t="s">
        <v>22</v>
      </c>
      <c r="D135" t="s">
        <v>382</v>
      </c>
      <c r="E135" t="s">
        <v>383</v>
      </c>
      <c r="F135" t="s">
        <v>142</v>
      </c>
      <c r="G135" t="s">
        <v>225</v>
      </c>
      <c r="H135">
        <v>0</v>
      </c>
      <c r="I135">
        <v>0</v>
      </c>
      <c r="J135">
        <v>0</v>
      </c>
      <c r="K135">
        <v>0</v>
      </c>
      <c r="L135">
        <v>0</v>
      </c>
      <c r="U135" s="1"/>
    </row>
    <row r="136" spans="1:21" x14ac:dyDescent="0.3">
      <c r="A136" t="s">
        <v>384</v>
      </c>
      <c r="B136" t="s">
        <v>53</v>
      </c>
      <c r="C136" t="s">
        <v>22</v>
      </c>
      <c r="D136" t="s">
        <v>385</v>
      </c>
      <c r="E136" t="s">
        <v>386</v>
      </c>
      <c r="F136" t="s">
        <v>56</v>
      </c>
      <c r="G136" t="s">
        <v>387</v>
      </c>
      <c r="H136">
        <v>0</v>
      </c>
      <c r="I136">
        <v>0</v>
      </c>
      <c r="J136">
        <v>0</v>
      </c>
      <c r="K136">
        <v>0</v>
      </c>
      <c r="L136">
        <v>0</v>
      </c>
      <c r="U136" s="1"/>
    </row>
    <row r="137" spans="1:21" x14ac:dyDescent="0.3">
      <c r="A137" t="s">
        <v>388</v>
      </c>
      <c r="B137" t="s">
        <v>21</v>
      </c>
      <c r="C137" t="s">
        <v>29</v>
      </c>
      <c r="D137" t="s">
        <v>389</v>
      </c>
      <c r="E137" t="s">
        <v>390</v>
      </c>
      <c r="F137" t="s">
        <v>266</v>
      </c>
      <c r="G137" t="s">
        <v>73</v>
      </c>
      <c r="H137">
        <v>0</v>
      </c>
      <c r="I137">
        <v>0</v>
      </c>
      <c r="J137">
        <v>0</v>
      </c>
      <c r="K137">
        <v>0</v>
      </c>
      <c r="L137">
        <v>0</v>
      </c>
      <c r="U137" s="1"/>
    </row>
    <row r="138" spans="1:21" x14ac:dyDescent="0.3">
      <c r="A138" s="41" t="s">
        <v>388</v>
      </c>
      <c r="B138" t="s">
        <v>21</v>
      </c>
      <c r="C138" t="s">
        <v>29</v>
      </c>
      <c r="D138" t="s">
        <v>389</v>
      </c>
      <c r="E138" t="s">
        <v>390</v>
      </c>
      <c r="F138" t="s">
        <v>266</v>
      </c>
      <c r="G138" t="s">
        <v>302</v>
      </c>
      <c r="H138">
        <v>100</v>
      </c>
      <c r="I138">
        <v>0</v>
      </c>
      <c r="J138">
        <v>0</v>
      </c>
      <c r="K138">
        <v>0</v>
      </c>
      <c r="L138">
        <v>0</v>
      </c>
      <c r="T138" s="50">
        <f>112*1.3/60</f>
        <v>2.4266666666666667</v>
      </c>
      <c r="U138" s="1">
        <f>189*1.3/60</f>
        <v>4.0950000000000006</v>
      </c>
    </row>
    <row r="139" spans="1:21" x14ac:dyDescent="0.3">
      <c r="A139" t="s">
        <v>388</v>
      </c>
      <c r="B139" t="s">
        <v>21</v>
      </c>
      <c r="C139" t="s">
        <v>29</v>
      </c>
      <c r="D139" t="s">
        <v>389</v>
      </c>
      <c r="E139" t="s">
        <v>390</v>
      </c>
      <c r="F139" t="s">
        <v>266</v>
      </c>
      <c r="G139" t="s">
        <v>391</v>
      </c>
      <c r="H139">
        <v>0</v>
      </c>
      <c r="I139">
        <v>0</v>
      </c>
      <c r="J139">
        <v>0</v>
      </c>
      <c r="K139">
        <v>0</v>
      </c>
      <c r="L139">
        <v>0</v>
      </c>
      <c r="U139" s="1"/>
    </row>
    <row r="140" spans="1:21" x14ac:dyDescent="0.3">
      <c r="A140" t="s">
        <v>392</v>
      </c>
      <c r="B140" t="s">
        <v>21</v>
      </c>
      <c r="D140" s="18" t="s">
        <v>393</v>
      </c>
      <c r="E140" s="10" t="s">
        <v>394</v>
      </c>
      <c r="F140" t="s">
        <v>32</v>
      </c>
      <c r="G140" t="s">
        <v>395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21" x14ac:dyDescent="0.3">
      <c r="A141" s="10" t="s">
        <v>396</v>
      </c>
      <c r="B141" t="s">
        <v>28</v>
      </c>
      <c r="C141" t="s">
        <v>22</v>
      </c>
      <c r="D141" s="18" t="s">
        <v>397</v>
      </c>
      <c r="E141" s="10" t="s">
        <v>398</v>
      </c>
      <c r="F141" t="s">
        <v>279</v>
      </c>
      <c r="G141" t="s">
        <v>399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21" x14ac:dyDescent="0.3">
      <c r="A142" s="10" t="s">
        <v>396</v>
      </c>
      <c r="B142" t="s">
        <v>28</v>
      </c>
      <c r="C142" t="s">
        <v>22</v>
      </c>
      <c r="D142" s="18" t="s">
        <v>397</v>
      </c>
      <c r="E142" s="10" t="s">
        <v>398</v>
      </c>
      <c r="F142" t="s">
        <v>279</v>
      </c>
      <c r="G142" t="s">
        <v>400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21" x14ac:dyDescent="0.3">
      <c r="A143" s="10" t="s">
        <v>396</v>
      </c>
      <c r="B143" t="s">
        <v>28</v>
      </c>
      <c r="C143" t="s">
        <v>22</v>
      </c>
      <c r="D143" s="18" t="s">
        <v>397</v>
      </c>
      <c r="E143" s="10" t="s">
        <v>398</v>
      </c>
      <c r="F143" t="s">
        <v>279</v>
      </c>
      <c r="G143" t="s">
        <v>400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21" x14ac:dyDescent="0.3">
      <c r="A144" s="48" t="s">
        <v>512</v>
      </c>
      <c r="B144" t="s">
        <v>21</v>
      </c>
      <c r="C144" t="s">
        <v>22</v>
      </c>
      <c r="D144" s="18" t="s">
        <v>710</v>
      </c>
      <c r="E144" s="10" t="s">
        <v>711</v>
      </c>
      <c r="F144" s="10" t="s">
        <v>92</v>
      </c>
      <c r="G144" s="10" t="s">
        <v>352</v>
      </c>
      <c r="H144">
        <v>32</v>
      </c>
      <c r="I144">
        <v>10</v>
      </c>
      <c r="J144">
        <v>6</v>
      </c>
      <c r="K144">
        <v>8</v>
      </c>
      <c r="L144">
        <v>1</v>
      </c>
      <c r="T144" s="50">
        <f>336*1.3/60</f>
        <v>7.28</v>
      </c>
      <c r="U144" s="1">
        <f>354*1.3/60</f>
        <v>7.67</v>
      </c>
    </row>
    <row r="145" spans="1:21" x14ac:dyDescent="0.3">
      <c r="A145" s="42" t="s">
        <v>401</v>
      </c>
      <c r="B145" t="s">
        <v>21</v>
      </c>
      <c r="C145" t="s">
        <v>22</v>
      </c>
      <c r="D145" t="s">
        <v>402</v>
      </c>
      <c r="E145" t="s">
        <v>403</v>
      </c>
      <c r="F145" t="s">
        <v>266</v>
      </c>
      <c r="G145" t="s">
        <v>268</v>
      </c>
      <c r="H145">
        <v>33</v>
      </c>
      <c r="I145">
        <v>11</v>
      </c>
      <c r="J145">
        <v>4</v>
      </c>
      <c r="K145">
        <v>8</v>
      </c>
      <c r="L145">
        <v>1</v>
      </c>
      <c r="T145" s="50">
        <f>193*1.3/60</f>
        <v>4.1816666666666666</v>
      </c>
      <c r="U145" s="1">
        <f>179*1.3/60</f>
        <v>3.8783333333333334</v>
      </c>
    </row>
    <row r="146" spans="1:21" x14ac:dyDescent="0.3">
      <c r="A146" s="10" t="s">
        <v>404</v>
      </c>
      <c r="F146" t="s">
        <v>266</v>
      </c>
      <c r="H146">
        <v>0</v>
      </c>
      <c r="I146">
        <v>0</v>
      </c>
      <c r="J146">
        <v>0</v>
      </c>
      <c r="K146">
        <v>0</v>
      </c>
      <c r="L146">
        <v>0</v>
      </c>
      <c r="U146" s="1"/>
    </row>
    <row r="147" spans="1:21" x14ac:dyDescent="0.3">
      <c r="A147" s="41" t="s">
        <v>405</v>
      </c>
      <c r="B147" t="s">
        <v>21</v>
      </c>
      <c r="D147" t="s">
        <v>406</v>
      </c>
      <c r="E147" t="s">
        <v>407</v>
      </c>
      <c r="F147" t="s">
        <v>408</v>
      </c>
      <c r="G147" t="s">
        <v>410</v>
      </c>
      <c r="H147">
        <v>50</v>
      </c>
      <c r="I147">
        <v>0</v>
      </c>
      <c r="J147">
        <v>0</v>
      </c>
      <c r="K147">
        <v>0</v>
      </c>
      <c r="L147">
        <v>0</v>
      </c>
      <c r="T147" s="50">
        <f>564*1.3/60</f>
        <v>12.22</v>
      </c>
      <c r="U147" s="1">
        <f>551*1.3/60</f>
        <v>11.938333333333334</v>
      </c>
    </row>
    <row r="148" spans="1:21" x14ac:dyDescent="0.3">
      <c r="A148" s="41" t="s">
        <v>405</v>
      </c>
      <c r="B148" t="s">
        <v>21</v>
      </c>
      <c r="D148" t="s">
        <v>406</v>
      </c>
      <c r="E148" t="s">
        <v>407</v>
      </c>
      <c r="F148" t="s">
        <v>408</v>
      </c>
      <c r="G148" t="s">
        <v>192</v>
      </c>
      <c r="H148">
        <v>150</v>
      </c>
      <c r="I148">
        <v>0</v>
      </c>
      <c r="J148">
        <v>0</v>
      </c>
      <c r="K148">
        <v>0</v>
      </c>
      <c r="L148">
        <v>0</v>
      </c>
      <c r="T148" s="50">
        <f>396*1.3/60</f>
        <v>8.5800000000000018</v>
      </c>
      <c r="U148" s="1">
        <f>240*1.3/60</f>
        <v>5.2</v>
      </c>
    </row>
    <row r="149" spans="1:21" x14ac:dyDescent="0.3">
      <c r="A149" s="41" t="s">
        <v>405</v>
      </c>
      <c r="B149" t="s">
        <v>21</v>
      </c>
      <c r="D149" t="s">
        <v>406</v>
      </c>
      <c r="E149" t="s">
        <v>407</v>
      </c>
      <c r="F149" t="s">
        <v>408</v>
      </c>
      <c r="G149" t="s">
        <v>411</v>
      </c>
      <c r="H149">
        <v>60</v>
      </c>
      <c r="I149">
        <v>0</v>
      </c>
      <c r="J149">
        <v>0</v>
      </c>
      <c r="K149">
        <v>0</v>
      </c>
      <c r="L149">
        <v>0</v>
      </c>
      <c r="T149" s="50">
        <f>478*1.3/60</f>
        <v>10.356666666666666</v>
      </c>
      <c r="U149" s="1">
        <f>465*1.3/60</f>
        <v>10.074999999999999</v>
      </c>
    </row>
    <row r="150" spans="1:21" x14ac:dyDescent="0.3">
      <c r="A150" t="s">
        <v>405</v>
      </c>
      <c r="B150" t="s">
        <v>21</v>
      </c>
      <c r="D150" t="s">
        <v>406</v>
      </c>
      <c r="E150" t="s">
        <v>407</v>
      </c>
      <c r="F150" t="s">
        <v>408</v>
      </c>
      <c r="G150" t="s">
        <v>409</v>
      </c>
      <c r="H150">
        <v>0</v>
      </c>
      <c r="I150">
        <v>0</v>
      </c>
      <c r="J150">
        <v>0</v>
      </c>
      <c r="K150">
        <v>0</v>
      </c>
      <c r="L150">
        <v>0</v>
      </c>
      <c r="U150" s="1"/>
    </row>
    <row r="151" spans="1:21" x14ac:dyDescent="0.3">
      <c r="A151" t="s">
        <v>405</v>
      </c>
      <c r="B151" t="s">
        <v>21</v>
      </c>
      <c r="D151" t="s">
        <v>406</v>
      </c>
      <c r="E151" t="s">
        <v>407</v>
      </c>
      <c r="F151" t="s">
        <v>408</v>
      </c>
      <c r="G151" t="s">
        <v>321</v>
      </c>
      <c r="H151">
        <v>0</v>
      </c>
      <c r="I151">
        <v>0</v>
      </c>
      <c r="J151">
        <v>0</v>
      </c>
      <c r="K151">
        <v>0</v>
      </c>
      <c r="L151">
        <v>0</v>
      </c>
      <c r="U151" s="1"/>
    </row>
    <row r="152" spans="1:21" x14ac:dyDescent="0.3">
      <c r="A152" t="s">
        <v>405</v>
      </c>
      <c r="B152" t="s">
        <v>21</v>
      </c>
      <c r="D152" t="s">
        <v>406</v>
      </c>
      <c r="E152" t="s">
        <v>407</v>
      </c>
      <c r="F152" t="s">
        <v>408</v>
      </c>
      <c r="G152" t="s">
        <v>412</v>
      </c>
      <c r="H152">
        <v>0</v>
      </c>
      <c r="I152">
        <v>0</v>
      </c>
      <c r="J152">
        <v>0</v>
      </c>
      <c r="K152">
        <v>0</v>
      </c>
      <c r="L152">
        <v>0</v>
      </c>
      <c r="U152" s="1"/>
    </row>
    <row r="153" spans="1:21" x14ac:dyDescent="0.3">
      <c r="A153" s="2" t="s">
        <v>413</v>
      </c>
      <c r="B153" t="s">
        <v>28</v>
      </c>
      <c r="D153" s="18" t="s">
        <v>414</v>
      </c>
      <c r="E153" s="10" t="s">
        <v>415</v>
      </c>
      <c r="F153" t="s">
        <v>92</v>
      </c>
      <c r="G153" t="s">
        <v>416</v>
      </c>
      <c r="H153">
        <v>0</v>
      </c>
      <c r="I153">
        <v>0</v>
      </c>
      <c r="J153">
        <v>0</v>
      </c>
      <c r="K153">
        <v>0</v>
      </c>
      <c r="L153">
        <v>0</v>
      </c>
      <c r="U153" s="1"/>
    </row>
    <row r="154" spans="1:21" x14ac:dyDescent="0.3">
      <c r="A154" t="s">
        <v>417</v>
      </c>
      <c r="B154" t="s">
        <v>21</v>
      </c>
      <c r="C154" t="s">
        <v>22</v>
      </c>
      <c r="D154" t="s">
        <v>418</v>
      </c>
      <c r="E154" t="s">
        <v>419</v>
      </c>
      <c r="F154" t="s">
        <v>25</v>
      </c>
      <c r="G154" t="s">
        <v>420</v>
      </c>
      <c r="H154">
        <v>0</v>
      </c>
      <c r="I154">
        <v>0</v>
      </c>
      <c r="J154">
        <v>0</v>
      </c>
      <c r="K154">
        <v>0</v>
      </c>
      <c r="L154">
        <v>0</v>
      </c>
      <c r="U154" s="1"/>
    </row>
    <row r="155" spans="1:21" x14ac:dyDescent="0.3">
      <c r="A155" s="41" t="s">
        <v>421</v>
      </c>
      <c r="B155" t="s">
        <v>21</v>
      </c>
      <c r="C155" t="s">
        <v>22</v>
      </c>
      <c r="D155" s="18" t="s">
        <v>422</v>
      </c>
      <c r="E155" s="10" t="s">
        <v>423</v>
      </c>
      <c r="F155" t="s">
        <v>142</v>
      </c>
      <c r="G155" t="s">
        <v>730</v>
      </c>
      <c r="H155">
        <v>80</v>
      </c>
      <c r="I155">
        <v>0</v>
      </c>
      <c r="J155">
        <v>0</v>
      </c>
      <c r="K155">
        <v>0</v>
      </c>
      <c r="L155">
        <v>0</v>
      </c>
      <c r="U155">
        <f>672*1.3/60</f>
        <v>14.56</v>
      </c>
    </row>
    <row r="156" spans="1:21" x14ac:dyDescent="0.3">
      <c r="A156" t="s">
        <v>425</v>
      </c>
      <c r="B156" t="s">
        <v>28</v>
      </c>
      <c r="C156" t="s">
        <v>22</v>
      </c>
      <c r="D156" t="s">
        <v>426</v>
      </c>
      <c r="E156" t="s">
        <v>427</v>
      </c>
      <c r="F156" t="s">
        <v>25</v>
      </c>
      <c r="G156" t="s">
        <v>428</v>
      </c>
      <c r="H156">
        <v>0</v>
      </c>
      <c r="I156">
        <v>0</v>
      </c>
      <c r="J156">
        <v>0</v>
      </c>
      <c r="K156">
        <v>0</v>
      </c>
      <c r="L156">
        <v>0</v>
      </c>
      <c r="U156" s="1"/>
    </row>
    <row r="157" spans="1:21" x14ac:dyDescent="0.3">
      <c r="A157" t="s">
        <v>429</v>
      </c>
      <c r="B157" t="s">
        <v>21</v>
      </c>
      <c r="D157" s="10"/>
      <c r="F157" t="s">
        <v>25</v>
      </c>
      <c r="G157" t="s">
        <v>430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21" x14ac:dyDescent="0.3">
      <c r="A158" t="s">
        <v>431</v>
      </c>
      <c r="B158" t="s">
        <v>28</v>
      </c>
      <c r="C158" t="s">
        <v>29</v>
      </c>
      <c r="D158" t="s">
        <v>432</v>
      </c>
      <c r="E158" t="s">
        <v>433</v>
      </c>
      <c r="F158" t="s">
        <v>92</v>
      </c>
      <c r="G158" t="s">
        <v>434</v>
      </c>
      <c r="H158">
        <v>0</v>
      </c>
      <c r="I158">
        <v>0</v>
      </c>
      <c r="J158">
        <v>0</v>
      </c>
      <c r="K158">
        <v>0</v>
      </c>
      <c r="L158">
        <v>0</v>
      </c>
      <c r="U158" s="1"/>
    </row>
    <row r="159" spans="1:21" x14ac:dyDescent="0.3">
      <c r="A159" t="s">
        <v>435</v>
      </c>
      <c r="B159" t="s">
        <v>28</v>
      </c>
      <c r="C159" t="s">
        <v>29</v>
      </c>
      <c r="D159" s="18" t="s">
        <v>436</v>
      </c>
      <c r="E159" s="10" t="s">
        <v>437</v>
      </c>
      <c r="F159" t="s">
        <v>32</v>
      </c>
      <c r="G159" t="s">
        <v>438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21" x14ac:dyDescent="0.3">
      <c r="A160" t="s">
        <v>439</v>
      </c>
      <c r="B160" t="s">
        <v>21</v>
      </c>
      <c r="D160" s="18" t="s">
        <v>440</v>
      </c>
      <c r="E160" s="10" t="s">
        <v>441</v>
      </c>
      <c r="F160" t="s">
        <v>279</v>
      </c>
      <c r="G160" t="s">
        <v>442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21" x14ac:dyDescent="0.3">
      <c r="A161" t="s">
        <v>443</v>
      </c>
      <c r="B161" t="s">
        <v>28</v>
      </c>
      <c r="C161" t="s">
        <v>29</v>
      </c>
      <c r="D161" s="18" t="s">
        <v>444</v>
      </c>
      <c r="E161" s="10" t="s">
        <v>445</v>
      </c>
      <c r="F161" t="s">
        <v>279</v>
      </c>
      <c r="G161" t="s">
        <v>196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21" x14ac:dyDescent="0.3">
      <c r="A162" t="s">
        <v>446</v>
      </c>
      <c r="B162" t="s">
        <v>28</v>
      </c>
      <c r="C162" t="s">
        <v>22</v>
      </c>
      <c r="D162" t="s">
        <v>451</v>
      </c>
      <c r="E162" t="s">
        <v>452</v>
      </c>
      <c r="F162" t="s">
        <v>38</v>
      </c>
      <c r="G162" t="s">
        <v>453</v>
      </c>
      <c r="H162">
        <v>0</v>
      </c>
      <c r="I162">
        <v>0</v>
      </c>
      <c r="J162">
        <v>0</v>
      </c>
      <c r="K162">
        <v>0</v>
      </c>
      <c r="L162">
        <v>0</v>
      </c>
      <c r="U162" s="1"/>
    </row>
    <row r="163" spans="1:21" x14ac:dyDescent="0.3">
      <c r="A163" t="s">
        <v>446</v>
      </c>
      <c r="B163" t="s">
        <v>28</v>
      </c>
      <c r="C163" t="s">
        <v>22</v>
      </c>
      <c r="D163" t="s">
        <v>451</v>
      </c>
      <c r="E163" t="s">
        <v>452</v>
      </c>
      <c r="F163" t="s">
        <v>38</v>
      </c>
      <c r="G163" t="s">
        <v>696</v>
      </c>
      <c r="H163">
        <v>0</v>
      </c>
      <c r="I163">
        <v>0</v>
      </c>
      <c r="J163">
        <v>0</v>
      </c>
      <c r="K163">
        <v>0</v>
      </c>
      <c r="L163">
        <v>0</v>
      </c>
      <c r="U163" s="1"/>
    </row>
    <row r="164" spans="1:21" x14ac:dyDescent="0.3">
      <c r="A164" s="41" t="s">
        <v>450</v>
      </c>
      <c r="B164" t="s">
        <v>21</v>
      </c>
      <c r="C164" t="s">
        <v>22</v>
      </c>
      <c r="D164" t="s">
        <v>455</v>
      </c>
      <c r="E164" t="s">
        <v>456</v>
      </c>
      <c r="F164" t="s">
        <v>142</v>
      </c>
      <c r="G164" t="s">
        <v>453</v>
      </c>
      <c r="H164">
        <v>20</v>
      </c>
      <c r="I164">
        <v>0</v>
      </c>
      <c r="J164">
        <v>0</v>
      </c>
      <c r="K164">
        <v>0</v>
      </c>
      <c r="L164">
        <v>0</v>
      </c>
      <c r="T164" s="50">
        <f>733*1.3/60</f>
        <v>15.881666666666666</v>
      </c>
      <c r="U164" s="1">
        <f>874*1.3/60</f>
        <v>18.936666666666667</v>
      </c>
    </row>
    <row r="165" spans="1:21" x14ac:dyDescent="0.3">
      <c r="A165" t="s">
        <v>454</v>
      </c>
      <c r="B165" t="s">
        <v>21</v>
      </c>
      <c r="C165" t="s">
        <v>22</v>
      </c>
      <c r="D165" t="s">
        <v>458</v>
      </c>
      <c r="E165" t="s">
        <v>459</v>
      </c>
      <c r="F165" t="s">
        <v>25</v>
      </c>
      <c r="G165" t="s">
        <v>460</v>
      </c>
      <c r="H165">
        <v>0</v>
      </c>
      <c r="I165">
        <v>0</v>
      </c>
      <c r="J165">
        <v>0</v>
      </c>
      <c r="K165">
        <v>0</v>
      </c>
      <c r="L165">
        <v>0</v>
      </c>
      <c r="Q165" s="1"/>
      <c r="R165" s="1"/>
      <c r="S165" s="1"/>
      <c r="T165" s="1"/>
      <c r="U165" s="1"/>
    </row>
    <row r="166" spans="1:21" x14ac:dyDescent="0.3">
      <c r="A166" s="2" t="s">
        <v>457</v>
      </c>
      <c r="B166" t="s">
        <v>21</v>
      </c>
      <c r="C166" t="s">
        <v>22</v>
      </c>
      <c r="D166" t="s">
        <v>458</v>
      </c>
      <c r="E166" t="s">
        <v>459</v>
      </c>
      <c r="F166" t="s">
        <v>25</v>
      </c>
      <c r="G166" t="s">
        <v>461</v>
      </c>
      <c r="H166">
        <v>0</v>
      </c>
      <c r="I166">
        <v>0</v>
      </c>
      <c r="J166">
        <v>0</v>
      </c>
      <c r="K166">
        <v>0</v>
      </c>
      <c r="L166">
        <v>0</v>
      </c>
      <c r="Q166" s="1"/>
      <c r="R166" s="1"/>
      <c r="S166" s="1"/>
      <c r="T166" s="1"/>
      <c r="U166" s="1"/>
    </row>
    <row r="167" spans="1:21" x14ac:dyDescent="0.3">
      <c r="A167" t="s">
        <v>457</v>
      </c>
      <c r="B167" t="s">
        <v>21</v>
      </c>
      <c r="C167" t="s">
        <v>22</v>
      </c>
      <c r="D167" t="s">
        <v>458</v>
      </c>
      <c r="E167" t="s">
        <v>459</v>
      </c>
      <c r="F167" t="s">
        <v>25</v>
      </c>
      <c r="G167" t="s">
        <v>461</v>
      </c>
      <c r="H167">
        <v>0</v>
      </c>
      <c r="I167">
        <v>0</v>
      </c>
      <c r="J167">
        <v>0</v>
      </c>
      <c r="K167">
        <v>0</v>
      </c>
      <c r="L167">
        <v>0</v>
      </c>
      <c r="Q167" s="1"/>
      <c r="R167" s="1"/>
      <c r="S167" s="1"/>
      <c r="T167" s="1"/>
      <c r="U167" s="1"/>
    </row>
    <row r="168" spans="1:21" x14ac:dyDescent="0.3">
      <c r="A168" t="s">
        <v>457</v>
      </c>
      <c r="B168" t="s">
        <v>21</v>
      </c>
      <c r="C168" t="s">
        <v>22</v>
      </c>
      <c r="D168" t="s">
        <v>458</v>
      </c>
      <c r="E168" t="s">
        <v>459</v>
      </c>
      <c r="F168" t="s">
        <v>25</v>
      </c>
      <c r="G168" t="s">
        <v>462</v>
      </c>
      <c r="H168">
        <v>0</v>
      </c>
      <c r="I168">
        <v>0</v>
      </c>
      <c r="J168">
        <v>0</v>
      </c>
      <c r="K168">
        <v>0</v>
      </c>
      <c r="L168">
        <v>0</v>
      </c>
      <c r="Q168" s="1"/>
      <c r="R168" s="1"/>
      <c r="S168" s="1"/>
      <c r="T168" s="1"/>
      <c r="U168" s="1"/>
    </row>
    <row r="169" spans="1:21" x14ac:dyDescent="0.3">
      <c r="A169" t="s">
        <v>457</v>
      </c>
      <c r="B169" t="s">
        <v>28</v>
      </c>
      <c r="C169" t="s">
        <v>29</v>
      </c>
      <c r="D169" s="18" t="s">
        <v>464</v>
      </c>
      <c r="E169" s="10" t="s">
        <v>465</v>
      </c>
      <c r="F169" t="s">
        <v>92</v>
      </c>
      <c r="G169" t="s">
        <v>466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21" x14ac:dyDescent="0.3">
      <c r="A170" s="41" t="s">
        <v>687</v>
      </c>
      <c r="B170" t="s">
        <v>21</v>
      </c>
      <c r="D170" s="10" t="s">
        <v>693</v>
      </c>
      <c r="E170" s="10" t="s">
        <v>692</v>
      </c>
      <c r="F170" t="s">
        <v>43</v>
      </c>
      <c r="G170" t="s">
        <v>715</v>
      </c>
      <c r="H170">
        <v>27</v>
      </c>
      <c r="I170">
        <v>10</v>
      </c>
      <c r="J170">
        <v>3</v>
      </c>
      <c r="K170">
        <v>8</v>
      </c>
      <c r="L170">
        <v>2</v>
      </c>
      <c r="T170" s="50">
        <f>414*1.3/60</f>
        <v>8.9700000000000006</v>
      </c>
      <c r="U170" s="51">
        <f>261*1.3/60</f>
        <v>5.6550000000000002</v>
      </c>
    </row>
    <row r="171" spans="1:21" x14ac:dyDescent="0.3">
      <c r="A171" s="41" t="s">
        <v>467</v>
      </c>
      <c r="B171" t="s">
        <v>53</v>
      </c>
      <c r="C171" t="s">
        <v>29</v>
      </c>
      <c r="D171" t="s">
        <v>468</v>
      </c>
      <c r="E171" t="s">
        <v>469</v>
      </c>
      <c r="F171" t="s">
        <v>56</v>
      </c>
      <c r="G171" t="s">
        <v>470</v>
      </c>
      <c r="H171">
        <v>21</v>
      </c>
      <c r="I171">
        <v>0</v>
      </c>
      <c r="J171">
        <v>0</v>
      </c>
      <c r="K171">
        <v>0</v>
      </c>
      <c r="L171">
        <v>0</v>
      </c>
      <c r="T171" s="50">
        <f>236*1.3/60</f>
        <v>5.1133333333333333</v>
      </c>
      <c r="U171" s="1">
        <f>49*1.3/60</f>
        <v>1.0616666666666668</v>
      </c>
    </row>
    <row r="172" spans="1:21" x14ac:dyDescent="0.3">
      <c r="A172" s="48" t="s">
        <v>691</v>
      </c>
      <c r="B172" t="s">
        <v>21</v>
      </c>
      <c r="D172" s="10" t="s">
        <v>693</v>
      </c>
      <c r="E172" s="10" t="s">
        <v>692</v>
      </c>
      <c r="F172" s="10" t="s">
        <v>43</v>
      </c>
      <c r="G172" s="10" t="s">
        <v>26</v>
      </c>
      <c r="H172">
        <v>46</v>
      </c>
      <c r="I172">
        <v>12</v>
      </c>
      <c r="J172">
        <v>7</v>
      </c>
      <c r="K172">
        <v>8</v>
      </c>
      <c r="L172">
        <v>3</v>
      </c>
    </row>
    <row r="173" spans="1:21" x14ac:dyDescent="0.3">
      <c r="A173" s="7" t="s">
        <v>471</v>
      </c>
      <c r="B173" t="s">
        <v>113</v>
      </c>
      <c r="C173" t="s">
        <v>22</v>
      </c>
      <c r="D173" t="s">
        <v>475</v>
      </c>
      <c r="E173" t="s">
        <v>476</v>
      </c>
      <c r="F173" t="s">
        <v>477</v>
      </c>
      <c r="G173" t="s">
        <v>478</v>
      </c>
      <c r="H173">
        <v>0</v>
      </c>
      <c r="I173">
        <v>0</v>
      </c>
      <c r="J173">
        <v>0</v>
      </c>
      <c r="K173">
        <v>0</v>
      </c>
      <c r="L173">
        <v>0</v>
      </c>
      <c r="U173" s="1"/>
    </row>
    <row r="174" spans="1:21" x14ac:dyDescent="0.3">
      <c r="A174" t="s">
        <v>474</v>
      </c>
      <c r="B174" t="s">
        <v>21</v>
      </c>
      <c r="C174" t="s">
        <v>29</v>
      </c>
      <c r="D174" t="s">
        <v>480</v>
      </c>
      <c r="E174" t="s">
        <v>481</v>
      </c>
      <c r="F174" t="s">
        <v>482</v>
      </c>
      <c r="G174" t="s">
        <v>409</v>
      </c>
      <c r="H174">
        <v>0</v>
      </c>
      <c r="I174">
        <v>0</v>
      </c>
      <c r="J174">
        <v>0</v>
      </c>
      <c r="K174">
        <v>0</v>
      </c>
      <c r="L174">
        <v>0</v>
      </c>
      <c r="U174" s="1"/>
    </row>
    <row r="175" spans="1:21" x14ac:dyDescent="0.3">
      <c r="A175" t="s">
        <v>479</v>
      </c>
      <c r="B175" t="s">
        <v>21</v>
      </c>
      <c r="C175" t="s">
        <v>29</v>
      </c>
      <c r="D175" t="s">
        <v>480</v>
      </c>
      <c r="E175" t="s">
        <v>481</v>
      </c>
      <c r="F175" t="s">
        <v>482</v>
      </c>
      <c r="G175" t="s">
        <v>708</v>
      </c>
      <c r="H175">
        <v>0</v>
      </c>
      <c r="I175">
        <v>0</v>
      </c>
      <c r="J175">
        <v>0</v>
      </c>
      <c r="K175">
        <v>0</v>
      </c>
      <c r="L175">
        <v>0</v>
      </c>
      <c r="U175" s="1"/>
    </row>
    <row r="176" spans="1:21" x14ac:dyDescent="0.3">
      <c r="A176" t="s">
        <v>479</v>
      </c>
      <c r="B176" t="s">
        <v>21</v>
      </c>
      <c r="C176" t="s">
        <v>29</v>
      </c>
      <c r="D176" t="s">
        <v>480</v>
      </c>
      <c r="E176" t="s">
        <v>481</v>
      </c>
      <c r="F176" t="s">
        <v>482</v>
      </c>
      <c r="G176" t="s">
        <v>483</v>
      </c>
      <c r="H176">
        <v>0</v>
      </c>
      <c r="I176">
        <v>0</v>
      </c>
      <c r="J176">
        <v>0</v>
      </c>
      <c r="K176">
        <v>0</v>
      </c>
      <c r="L176">
        <v>0</v>
      </c>
      <c r="U176" s="1"/>
    </row>
    <row r="177" spans="1:21" x14ac:dyDescent="0.3">
      <c r="A177" t="s">
        <v>479</v>
      </c>
      <c r="B177" t="s">
        <v>53</v>
      </c>
      <c r="D177" t="s">
        <v>485</v>
      </c>
      <c r="E177" t="s">
        <v>486</v>
      </c>
      <c r="F177" t="s">
        <v>56</v>
      </c>
      <c r="G177" t="s">
        <v>487</v>
      </c>
      <c r="H177">
        <v>0</v>
      </c>
      <c r="I177">
        <v>0</v>
      </c>
      <c r="J177">
        <v>0</v>
      </c>
      <c r="K177">
        <v>0</v>
      </c>
      <c r="L177">
        <v>0</v>
      </c>
      <c r="U177" s="1"/>
    </row>
    <row r="178" spans="1:21" x14ac:dyDescent="0.3">
      <c r="A178" t="s">
        <v>484</v>
      </c>
      <c r="B178" t="s">
        <v>28</v>
      </c>
      <c r="C178" t="s">
        <v>29</v>
      </c>
      <c r="D178" t="s">
        <v>489</v>
      </c>
      <c r="E178" t="s">
        <v>490</v>
      </c>
      <c r="F178" t="s">
        <v>155</v>
      </c>
      <c r="G178" t="s">
        <v>491</v>
      </c>
      <c r="H178">
        <v>0</v>
      </c>
      <c r="I178">
        <v>0</v>
      </c>
      <c r="J178">
        <v>0</v>
      </c>
      <c r="K178">
        <v>0</v>
      </c>
      <c r="L178">
        <v>0</v>
      </c>
      <c r="U178" s="1"/>
    </row>
    <row r="179" spans="1:21" x14ac:dyDescent="0.3">
      <c r="A179" t="s">
        <v>488</v>
      </c>
      <c r="B179" t="s">
        <v>28</v>
      </c>
      <c r="C179" t="s">
        <v>29</v>
      </c>
      <c r="D179" t="s">
        <v>489</v>
      </c>
      <c r="E179" t="s">
        <v>490</v>
      </c>
      <c r="F179" t="s">
        <v>155</v>
      </c>
      <c r="G179" t="s">
        <v>492</v>
      </c>
      <c r="H179">
        <v>0</v>
      </c>
      <c r="I179">
        <v>0</v>
      </c>
      <c r="J179">
        <v>0</v>
      </c>
      <c r="K179">
        <v>0</v>
      </c>
      <c r="L179">
        <v>0</v>
      </c>
      <c r="U179" s="1"/>
    </row>
    <row r="180" spans="1:21" x14ac:dyDescent="0.3">
      <c r="A180" t="s">
        <v>488</v>
      </c>
      <c r="B180" t="s">
        <v>28</v>
      </c>
      <c r="C180" t="s">
        <v>29</v>
      </c>
      <c r="D180" t="s">
        <v>489</v>
      </c>
      <c r="E180" t="s">
        <v>490</v>
      </c>
      <c r="F180" t="s">
        <v>155</v>
      </c>
      <c r="G180" t="s">
        <v>492</v>
      </c>
      <c r="H180">
        <v>0</v>
      </c>
      <c r="I180">
        <v>0</v>
      </c>
      <c r="J180">
        <v>0</v>
      </c>
      <c r="K180">
        <v>0</v>
      </c>
      <c r="L180">
        <v>0</v>
      </c>
      <c r="U180" s="1"/>
    </row>
    <row r="181" spans="1:21" x14ac:dyDescent="0.3">
      <c r="A181" t="s">
        <v>488</v>
      </c>
      <c r="B181" t="s">
        <v>21</v>
      </c>
      <c r="C181" t="s">
        <v>22</v>
      </c>
      <c r="D181" s="18" t="s">
        <v>494</v>
      </c>
      <c r="E181" s="10" t="s">
        <v>495</v>
      </c>
      <c r="F181" t="s">
        <v>25</v>
      </c>
      <c r="G181" t="s">
        <v>496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21" x14ac:dyDescent="0.3">
      <c r="A182" t="s">
        <v>493</v>
      </c>
      <c r="B182" t="s">
        <v>21</v>
      </c>
      <c r="C182" t="s">
        <v>29</v>
      </c>
      <c r="D182" t="s">
        <v>498</v>
      </c>
      <c r="E182" t="s">
        <v>221</v>
      </c>
      <c r="F182" t="s">
        <v>142</v>
      </c>
      <c r="G182" t="s">
        <v>499</v>
      </c>
      <c r="H182">
        <v>0</v>
      </c>
      <c r="I182">
        <v>0</v>
      </c>
      <c r="J182">
        <v>0</v>
      </c>
      <c r="K182">
        <v>0</v>
      </c>
      <c r="L182">
        <v>0</v>
      </c>
      <c r="U182" s="1"/>
    </row>
    <row r="183" spans="1:21" x14ac:dyDescent="0.3">
      <c r="A183" t="s">
        <v>497</v>
      </c>
      <c r="B183" t="s">
        <v>53</v>
      </c>
      <c r="C183" t="s">
        <v>29</v>
      </c>
      <c r="D183" s="10" t="s">
        <v>501</v>
      </c>
      <c r="E183" s="10" t="s">
        <v>502</v>
      </c>
      <c r="F183" t="s">
        <v>56</v>
      </c>
      <c r="G183" t="s">
        <v>503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21" x14ac:dyDescent="0.3">
      <c r="A184" s="41" t="s">
        <v>500</v>
      </c>
      <c r="B184" t="s">
        <v>53</v>
      </c>
      <c r="C184" t="s">
        <v>22</v>
      </c>
      <c r="D184" s="18" t="s">
        <v>688</v>
      </c>
      <c r="E184" s="10" t="s">
        <v>689</v>
      </c>
      <c r="F184" t="s">
        <v>43</v>
      </c>
      <c r="G184" t="s">
        <v>503</v>
      </c>
      <c r="H184">
        <v>24</v>
      </c>
      <c r="I184">
        <v>0</v>
      </c>
      <c r="J184">
        <v>0</v>
      </c>
      <c r="K184">
        <v>0</v>
      </c>
      <c r="L184">
        <v>0</v>
      </c>
      <c r="T184" s="50">
        <f>205*1.3/60</f>
        <v>4.4416666666666664</v>
      </c>
      <c r="U184" s="51">
        <f>214*1.3/60</f>
        <v>4.6366666666666667</v>
      </c>
    </row>
    <row r="185" spans="1:21" x14ac:dyDescent="0.3">
      <c r="H185">
        <f>SUM(H1:H184)</f>
        <v>1944</v>
      </c>
    </row>
  </sheetData>
  <autoFilter ref="A1:U185" xr:uid="{E6B94256-6987-42BF-B5A4-CCFB3DECE18D}">
    <sortState xmlns:xlrd2="http://schemas.microsoft.com/office/spreadsheetml/2017/richdata2" ref="A2:U185">
      <sortCondition ref="A1:A185"/>
    </sortState>
  </autoFilter>
  <hyperlinks>
    <hyperlink ref="D24" r:id="rId1" xr:uid="{4D39A0CE-2441-4AB4-9019-C280B516517F}"/>
    <hyperlink ref="D160" r:id="rId2" xr:uid="{6BBADFB1-D19B-429D-9374-F65914B539C4}"/>
    <hyperlink ref="D142" r:id="rId3" xr:uid="{D6D44DAB-ECE6-496F-B416-B718CB24F199}"/>
    <hyperlink ref="D143" r:id="rId4" xr:uid="{53099F47-281E-4629-9096-FFB13B2B6AA6}"/>
    <hyperlink ref="D31" r:id="rId5" xr:uid="{B21F990C-6B1F-4591-A5D7-A3C8633F929A}"/>
    <hyperlink ref="D141" r:id="rId6" xr:uid="{B110AD45-2984-4C32-9779-D6237D6F833B}"/>
    <hyperlink ref="D161" r:id="rId7" xr:uid="{FD3F76A2-7D11-49FD-BCA8-389726305F74}"/>
    <hyperlink ref="D181" r:id="rId8" display="tyler@w2energyservices.com" xr:uid="{DE547285-8457-4522-8C83-63C1A15A7CE9}"/>
    <hyperlink ref="D118" r:id="rId9" xr:uid="{4320490A-1529-4143-B19F-DB8371A1E54A}"/>
    <hyperlink ref="D119" r:id="rId10" xr:uid="{0AE46B2E-EB7E-4366-BFAB-C11238821E32}"/>
    <hyperlink ref="D55" r:id="rId11" xr:uid="{A3908C2A-D5AD-4A2E-89BA-B25F65C5BE0D}"/>
    <hyperlink ref="D100" r:id="rId12" xr:uid="{A4A2E6C6-9DDC-4167-B7D7-74D14C24ED2F}"/>
    <hyperlink ref="D2" r:id="rId13" xr:uid="{2BB41E0C-8D93-4565-95A7-EA8A05AB56D9}"/>
    <hyperlink ref="D111" r:id="rId14" xr:uid="{5A4D79F4-A210-4B79-9F9C-2089AA798D4D}"/>
    <hyperlink ref="D155" r:id="rId15" display="readelectric@aol.com" xr:uid="{78E26DAF-F19C-42AA-8ED4-EBFBA1087580}"/>
    <hyperlink ref="D153" r:id="rId16" xr:uid="{09D182D6-F845-4A57-A108-25AC53F77AD1}"/>
    <hyperlink ref="D169" r:id="rId17" xr:uid="{2FB817F7-B0E4-4315-B12E-1EC14489998A}"/>
    <hyperlink ref="D19" r:id="rId18" xr:uid="{E96F01F3-9AB6-4E35-B2A2-24DB2DF835BA}"/>
    <hyperlink ref="D105" r:id="rId19" xr:uid="{3977C218-1A64-4669-8000-AB0327F045D3}"/>
    <hyperlink ref="D184" r:id="rId20" xr:uid="{8E7259C4-AFD5-4B9E-B1CE-FC72C317BE1A}"/>
    <hyperlink ref="D3" r:id="rId21" xr:uid="{B35D141A-5CB3-43EB-A6F9-62F94A7463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9044-62DE-4B87-96CA-A5454D2D2548}">
  <dimension ref="A1:U181"/>
  <sheetViews>
    <sheetView zoomScaleNormal="100" workbookViewId="0">
      <pane ySplit="1" topLeftCell="A50" activePane="bottomLeft" state="frozen"/>
      <selection pane="bottomLeft" activeCell="A76" sqref="A76:XFD76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3.6640625" bestFit="1" customWidth="1"/>
    <col min="6" max="6" width="18.5546875" bestFit="1" customWidth="1"/>
    <col min="7" max="7" width="19.5546875" bestFit="1" customWidth="1"/>
    <col min="13" max="13" width="26.109375" bestFit="1" customWidth="1"/>
    <col min="14" max="14" width="28.33203125" bestFit="1" customWidth="1"/>
    <col min="15" max="15" width="24.6640625" bestFit="1" customWidth="1"/>
    <col min="16" max="16" width="21.5546875" bestFit="1" customWidth="1"/>
    <col min="17" max="17" width="28.88671875" bestFit="1" customWidth="1"/>
    <col min="18" max="18" width="26.6640625" bestFit="1" customWidth="1"/>
    <col min="19" max="19" width="2.88671875" customWidth="1"/>
    <col min="20" max="20" width="30.33203125" bestFit="1" customWidth="1"/>
    <col min="21" max="21" width="26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697</v>
      </c>
      <c r="N1" t="s">
        <v>12</v>
      </c>
      <c r="O1" t="s">
        <v>13</v>
      </c>
      <c r="P1" t="s">
        <v>14</v>
      </c>
      <c r="Q1" t="s">
        <v>712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 t="s">
        <v>22</v>
      </c>
      <c r="D2" s="18" t="s">
        <v>23</v>
      </c>
      <c r="E2" s="10" t="s">
        <v>24</v>
      </c>
      <c r="F2" t="s">
        <v>25</v>
      </c>
      <c r="G2" t="s">
        <v>26</v>
      </c>
      <c r="H2">
        <v>0</v>
      </c>
      <c r="I2">
        <v>0</v>
      </c>
      <c r="J2">
        <v>0</v>
      </c>
      <c r="K2">
        <v>0</v>
      </c>
      <c r="L2">
        <v>0</v>
      </c>
    </row>
    <row r="3" spans="1:21" x14ac:dyDescent="0.3">
      <c r="A3" t="s">
        <v>27</v>
      </c>
      <c r="B3" t="s">
        <v>28</v>
      </c>
      <c r="C3" t="s">
        <v>29</v>
      </c>
      <c r="D3" s="18" t="s">
        <v>30</v>
      </c>
      <c r="E3" s="10" t="s">
        <v>31</v>
      </c>
      <c r="F3" t="s">
        <v>32</v>
      </c>
      <c r="G3" t="s">
        <v>33</v>
      </c>
      <c r="H3">
        <v>0</v>
      </c>
      <c r="I3">
        <v>0</v>
      </c>
      <c r="J3">
        <v>0</v>
      </c>
      <c r="K3">
        <v>0</v>
      </c>
      <c r="L3">
        <v>0</v>
      </c>
      <c r="O3">
        <v>10</v>
      </c>
    </row>
    <row r="4" spans="1:21" x14ac:dyDescent="0.3">
      <c r="A4" t="s">
        <v>27</v>
      </c>
      <c r="B4" t="s">
        <v>28</v>
      </c>
      <c r="C4" t="s">
        <v>29</v>
      </c>
      <c r="D4" s="18" t="s">
        <v>30</v>
      </c>
      <c r="E4" s="10" t="s">
        <v>31</v>
      </c>
      <c r="F4" t="s">
        <v>32</v>
      </c>
      <c r="G4" t="s">
        <v>34</v>
      </c>
      <c r="H4">
        <v>0</v>
      </c>
      <c r="I4">
        <v>0</v>
      </c>
      <c r="J4">
        <v>0</v>
      </c>
      <c r="K4">
        <v>0</v>
      </c>
      <c r="L4">
        <v>0</v>
      </c>
      <c r="O4">
        <v>11</v>
      </c>
    </row>
    <row r="5" spans="1:21" x14ac:dyDescent="0.3">
      <c r="A5" t="s">
        <v>35</v>
      </c>
      <c r="B5" t="s">
        <v>28</v>
      </c>
      <c r="C5" t="s">
        <v>29</v>
      </c>
      <c r="D5" t="s">
        <v>36</v>
      </c>
      <c r="E5" t="s">
        <v>37</v>
      </c>
      <c r="F5" t="s">
        <v>38</v>
      </c>
      <c r="G5" t="s">
        <v>39</v>
      </c>
      <c r="H5">
        <v>0</v>
      </c>
      <c r="I5">
        <v>0</v>
      </c>
      <c r="J5">
        <v>0</v>
      </c>
      <c r="K5">
        <v>0</v>
      </c>
      <c r="L5">
        <v>0</v>
      </c>
      <c r="Q5">
        <v>15</v>
      </c>
      <c r="T5">
        <v>25</v>
      </c>
      <c r="U5" s="1"/>
    </row>
    <row r="6" spans="1:21" x14ac:dyDescent="0.3">
      <c r="A6" s="2" t="s">
        <v>45</v>
      </c>
      <c r="B6" t="s">
        <v>21</v>
      </c>
      <c r="C6" t="s">
        <v>22</v>
      </c>
      <c r="D6" s="10" t="s">
        <v>41</v>
      </c>
      <c r="E6" s="10" t="s">
        <v>42</v>
      </c>
      <c r="F6" t="s">
        <v>43</v>
      </c>
      <c r="G6" t="s">
        <v>321</v>
      </c>
      <c r="H6">
        <v>0</v>
      </c>
      <c r="I6">
        <v>0</v>
      </c>
      <c r="J6">
        <v>0</v>
      </c>
      <c r="K6">
        <v>0</v>
      </c>
      <c r="L6">
        <v>0</v>
      </c>
      <c r="U6" s="1"/>
    </row>
    <row r="7" spans="1:21" x14ac:dyDescent="0.3">
      <c r="A7" s="2" t="s">
        <v>45</v>
      </c>
      <c r="B7" t="s">
        <v>21</v>
      </c>
      <c r="C7" t="s">
        <v>22</v>
      </c>
      <c r="D7" s="10" t="s">
        <v>41</v>
      </c>
      <c r="E7" s="10" t="s">
        <v>42</v>
      </c>
      <c r="F7" t="s">
        <v>43</v>
      </c>
      <c r="G7" t="s">
        <v>695</v>
      </c>
      <c r="H7">
        <v>0</v>
      </c>
      <c r="I7">
        <v>0</v>
      </c>
      <c r="J7">
        <v>0</v>
      </c>
      <c r="K7">
        <v>0</v>
      </c>
      <c r="L7">
        <v>0</v>
      </c>
      <c r="U7" s="1"/>
    </row>
    <row r="8" spans="1:21" x14ac:dyDescent="0.3">
      <c r="A8" s="2" t="s">
        <v>45</v>
      </c>
      <c r="B8" t="s">
        <v>21</v>
      </c>
      <c r="C8" t="s">
        <v>22</v>
      </c>
      <c r="D8" s="10" t="s">
        <v>41</v>
      </c>
      <c r="E8" s="10" t="s">
        <v>42</v>
      </c>
      <c r="F8" t="s">
        <v>43</v>
      </c>
      <c r="G8" t="s">
        <v>86</v>
      </c>
      <c r="H8">
        <v>0</v>
      </c>
      <c r="I8">
        <v>0</v>
      </c>
      <c r="J8">
        <v>0</v>
      </c>
      <c r="K8">
        <v>0</v>
      </c>
      <c r="L8">
        <v>0</v>
      </c>
      <c r="U8" s="1"/>
    </row>
    <row r="9" spans="1:21" x14ac:dyDescent="0.3">
      <c r="A9" t="s">
        <v>45</v>
      </c>
      <c r="B9" t="s">
        <v>21</v>
      </c>
      <c r="C9" t="s">
        <v>22</v>
      </c>
      <c r="D9" s="10" t="s">
        <v>41</v>
      </c>
      <c r="E9" s="10" t="s">
        <v>42</v>
      </c>
      <c r="F9" t="s">
        <v>43</v>
      </c>
      <c r="G9" t="s">
        <v>46</v>
      </c>
      <c r="H9">
        <v>0</v>
      </c>
      <c r="I9">
        <v>0</v>
      </c>
      <c r="J9">
        <v>0</v>
      </c>
      <c r="K9">
        <v>0</v>
      </c>
      <c r="L9">
        <v>0</v>
      </c>
      <c r="O9">
        <v>4</v>
      </c>
      <c r="U9" s="1"/>
    </row>
    <row r="10" spans="1:21" x14ac:dyDescent="0.3">
      <c r="A10" t="s">
        <v>47</v>
      </c>
      <c r="B10" t="s">
        <v>21</v>
      </c>
      <c r="C10" t="s">
        <v>22</v>
      </c>
      <c r="D10" t="s">
        <v>48</v>
      </c>
      <c r="E10" t="s">
        <v>49</v>
      </c>
      <c r="F10" t="s">
        <v>50</v>
      </c>
      <c r="G10" t="s">
        <v>51</v>
      </c>
      <c r="H10">
        <v>0</v>
      </c>
      <c r="I10">
        <v>0</v>
      </c>
      <c r="J10">
        <v>0</v>
      </c>
      <c r="K10">
        <v>0</v>
      </c>
      <c r="L10">
        <v>0</v>
      </c>
      <c r="Q10">
        <v>18</v>
      </c>
      <c r="T10">
        <v>14</v>
      </c>
      <c r="U10" s="1"/>
    </row>
    <row r="11" spans="1:21" x14ac:dyDescent="0.3">
      <c r="A11" t="s">
        <v>52</v>
      </c>
      <c r="B11" t="s">
        <v>53</v>
      </c>
      <c r="C11" t="s">
        <v>29</v>
      </c>
      <c r="D11" s="10" t="s">
        <v>54</v>
      </c>
      <c r="E11" s="10" t="s">
        <v>55</v>
      </c>
      <c r="F11" t="s">
        <v>56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21" x14ac:dyDescent="0.3">
      <c r="A12" t="s">
        <v>58</v>
      </c>
      <c r="B12" t="s">
        <v>21</v>
      </c>
      <c r="C12" t="s">
        <v>29</v>
      </c>
      <c r="D12" s="18" t="s">
        <v>59</v>
      </c>
      <c r="E12" s="10" t="s">
        <v>60</v>
      </c>
      <c r="F12" t="s">
        <v>25</v>
      </c>
      <c r="G12" t="s">
        <v>61</v>
      </c>
      <c r="H12">
        <v>0</v>
      </c>
      <c r="I12">
        <v>0</v>
      </c>
      <c r="J12">
        <v>0</v>
      </c>
      <c r="K12">
        <v>0</v>
      </c>
      <c r="L12">
        <v>0</v>
      </c>
      <c r="O12">
        <v>6</v>
      </c>
      <c r="P12">
        <v>10</v>
      </c>
      <c r="U12" s="1"/>
    </row>
    <row r="13" spans="1:21" x14ac:dyDescent="0.3">
      <c r="A13" s="10" t="s">
        <v>62</v>
      </c>
      <c r="B13" t="s">
        <v>21</v>
      </c>
      <c r="C13" t="s">
        <v>22</v>
      </c>
      <c r="D13" s="18" t="s">
        <v>63</v>
      </c>
      <c r="E13" s="10" t="s">
        <v>64</v>
      </c>
      <c r="F13" t="s">
        <v>65</v>
      </c>
      <c r="G13" t="s">
        <v>66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21" x14ac:dyDescent="0.3">
      <c r="A14" t="s">
        <v>67</v>
      </c>
      <c r="B14" t="s">
        <v>21</v>
      </c>
      <c r="C14" t="s">
        <v>22</v>
      </c>
      <c r="D14" s="18" t="s">
        <v>68</v>
      </c>
      <c r="E14" s="10" t="s">
        <v>69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21" x14ac:dyDescent="0.3">
      <c r="A15" t="s">
        <v>70</v>
      </c>
      <c r="B15" t="s">
        <v>53</v>
      </c>
      <c r="C15" t="s">
        <v>29</v>
      </c>
      <c r="D15" t="s">
        <v>71</v>
      </c>
      <c r="E15" t="s">
        <v>72</v>
      </c>
      <c r="F15" t="s">
        <v>56</v>
      </c>
      <c r="G15" t="s">
        <v>73</v>
      </c>
      <c r="H15">
        <v>0</v>
      </c>
      <c r="I15">
        <v>0</v>
      </c>
      <c r="J15">
        <v>0</v>
      </c>
      <c r="K15">
        <v>0</v>
      </c>
      <c r="L15">
        <v>0</v>
      </c>
      <c r="Q15">
        <v>20</v>
      </c>
      <c r="T15">
        <v>15</v>
      </c>
      <c r="U15" s="1"/>
    </row>
    <row r="16" spans="1:21" x14ac:dyDescent="0.3">
      <c r="A16" s="41" t="s">
        <v>74</v>
      </c>
      <c r="B16" t="s">
        <v>21</v>
      </c>
      <c r="D16" t="s">
        <v>75</v>
      </c>
      <c r="E16" s="10" t="s">
        <v>76</v>
      </c>
      <c r="F16" t="s">
        <v>32</v>
      </c>
      <c r="G16" t="s">
        <v>77</v>
      </c>
      <c r="H16">
        <v>40</v>
      </c>
      <c r="I16">
        <v>13</v>
      </c>
      <c r="J16">
        <v>3</v>
      </c>
      <c r="K16">
        <v>4</v>
      </c>
      <c r="L16">
        <v>1</v>
      </c>
      <c r="Q16">
        <v>17</v>
      </c>
      <c r="T16">
        <v>12</v>
      </c>
      <c r="U16" s="1"/>
    </row>
    <row r="17" spans="1:21" x14ac:dyDescent="0.3">
      <c r="A17" t="s">
        <v>78</v>
      </c>
      <c r="B17" t="s">
        <v>53</v>
      </c>
      <c r="D17" s="18" t="s">
        <v>79</v>
      </c>
      <c r="E17" s="10" t="s">
        <v>80</v>
      </c>
      <c r="F17" t="s">
        <v>81</v>
      </c>
      <c r="G17" t="s">
        <v>82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21" x14ac:dyDescent="0.3">
      <c r="A18" s="41" t="s">
        <v>83</v>
      </c>
      <c r="B18" t="s">
        <v>21</v>
      </c>
      <c r="C18" t="s">
        <v>22</v>
      </c>
      <c r="D18" s="18" t="s">
        <v>84</v>
      </c>
      <c r="E18" s="10" t="s">
        <v>85</v>
      </c>
      <c r="F18" t="s">
        <v>25</v>
      </c>
      <c r="G18" s="13" t="s">
        <v>705</v>
      </c>
      <c r="H18">
        <v>25</v>
      </c>
      <c r="I18">
        <v>9</v>
      </c>
      <c r="J18">
        <v>3</v>
      </c>
      <c r="K18">
        <v>6</v>
      </c>
      <c r="L18">
        <v>0</v>
      </c>
      <c r="U18" s="1"/>
    </row>
    <row r="19" spans="1:21" x14ac:dyDescent="0.3">
      <c r="A19" s="41" t="s">
        <v>706</v>
      </c>
      <c r="B19" t="s">
        <v>21</v>
      </c>
      <c r="C19" t="s">
        <v>22</v>
      </c>
      <c r="D19" s="18" t="s">
        <v>84</v>
      </c>
      <c r="E19" s="10" t="s">
        <v>85</v>
      </c>
      <c r="F19" t="s">
        <v>25</v>
      </c>
      <c r="G19" t="s">
        <v>707</v>
      </c>
      <c r="H19">
        <v>19</v>
      </c>
      <c r="I19">
        <v>6</v>
      </c>
      <c r="J19">
        <v>3</v>
      </c>
      <c r="K19">
        <v>5</v>
      </c>
      <c r="L19">
        <v>0</v>
      </c>
      <c r="Q19">
        <v>4</v>
      </c>
      <c r="T19">
        <v>8</v>
      </c>
      <c r="U19" s="1"/>
    </row>
    <row r="20" spans="1:21" x14ac:dyDescent="0.3">
      <c r="A20" t="s">
        <v>89</v>
      </c>
      <c r="B20" t="s">
        <v>21</v>
      </c>
      <c r="C20" t="s">
        <v>22</v>
      </c>
      <c r="D20" t="s">
        <v>90</v>
      </c>
      <c r="E20" s="10" t="s">
        <v>91</v>
      </c>
      <c r="F20" t="s">
        <v>92</v>
      </c>
      <c r="G20" t="s">
        <v>93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21" x14ac:dyDescent="0.3">
      <c r="A21" t="s">
        <v>89</v>
      </c>
      <c r="B21" t="s">
        <v>21</v>
      </c>
      <c r="C21" t="s">
        <v>22</v>
      </c>
      <c r="D21" t="s">
        <v>90</v>
      </c>
      <c r="E21" s="10" t="s">
        <v>91</v>
      </c>
      <c r="F21" t="s">
        <v>92</v>
      </c>
      <c r="G21" t="s">
        <v>94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21" x14ac:dyDescent="0.3">
      <c r="A22" t="s">
        <v>95</v>
      </c>
      <c r="B22" t="s">
        <v>21</v>
      </c>
      <c r="C22" t="s">
        <v>22</v>
      </c>
      <c r="D22" s="18" t="s">
        <v>96</v>
      </c>
      <c r="E22" s="10" t="s">
        <v>97</v>
      </c>
      <c r="F22" t="s">
        <v>25</v>
      </c>
      <c r="G22" t="s">
        <v>98</v>
      </c>
      <c r="H22">
        <v>0</v>
      </c>
      <c r="I22">
        <v>0</v>
      </c>
      <c r="J22">
        <v>0</v>
      </c>
      <c r="K22">
        <v>0</v>
      </c>
      <c r="L22">
        <v>0</v>
      </c>
      <c r="P22">
        <v>11</v>
      </c>
      <c r="U22" s="1"/>
    </row>
    <row r="23" spans="1:21" x14ac:dyDescent="0.3">
      <c r="A23" t="s">
        <v>99</v>
      </c>
      <c r="B23" t="s">
        <v>53</v>
      </c>
      <c r="C23" t="s">
        <v>22</v>
      </c>
      <c r="D23" t="s">
        <v>100</v>
      </c>
      <c r="E23" t="s">
        <v>101</v>
      </c>
      <c r="F23" t="s">
        <v>56</v>
      </c>
      <c r="G23" t="s">
        <v>102</v>
      </c>
      <c r="H23">
        <v>0</v>
      </c>
      <c r="I23">
        <v>0</v>
      </c>
      <c r="J23">
        <v>0</v>
      </c>
      <c r="K23">
        <v>0</v>
      </c>
      <c r="L23">
        <v>0</v>
      </c>
      <c r="Q23">
        <v>6</v>
      </c>
      <c r="T23">
        <v>5</v>
      </c>
      <c r="U23" s="1"/>
    </row>
    <row r="24" spans="1:21" x14ac:dyDescent="0.3">
      <c r="A24" t="s">
        <v>103</v>
      </c>
      <c r="B24" t="s">
        <v>28</v>
      </c>
      <c r="C24" t="s">
        <v>22</v>
      </c>
      <c r="D24" s="18" t="s">
        <v>104</v>
      </c>
      <c r="E24" s="10" t="s">
        <v>105</v>
      </c>
      <c r="F24" t="s">
        <v>43</v>
      </c>
      <c r="G24" t="s">
        <v>106</v>
      </c>
      <c r="H24">
        <v>0</v>
      </c>
      <c r="I24">
        <v>0</v>
      </c>
      <c r="J24">
        <v>0</v>
      </c>
      <c r="K24">
        <v>0</v>
      </c>
      <c r="L24">
        <v>0</v>
      </c>
      <c r="O24">
        <v>6</v>
      </c>
    </row>
    <row r="25" spans="1:21" x14ac:dyDescent="0.3">
      <c r="A25" s="42" t="s">
        <v>107</v>
      </c>
      <c r="B25" t="s">
        <v>21</v>
      </c>
      <c r="C25" t="s">
        <v>22</v>
      </c>
      <c r="D25" t="s">
        <v>108</v>
      </c>
      <c r="E25" t="s">
        <v>109</v>
      </c>
      <c r="F25" t="s">
        <v>110</v>
      </c>
      <c r="G25" t="s">
        <v>163</v>
      </c>
      <c r="H25">
        <v>50</v>
      </c>
      <c r="I25">
        <v>0</v>
      </c>
      <c r="J25">
        <v>0</v>
      </c>
      <c r="K25">
        <v>0</v>
      </c>
      <c r="L25">
        <v>0</v>
      </c>
      <c r="Q25">
        <v>7</v>
      </c>
      <c r="T25">
        <v>14</v>
      </c>
      <c r="U25" s="1"/>
    </row>
    <row r="26" spans="1:21" x14ac:dyDescent="0.3">
      <c r="A26" s="42" t="s">
        <v>107</v>
      </c>
      <c r="B26" t="s">
        <v>21</v>
      </c>
      <c r="C26" t="s">
        <v>22</v>
      </c>
      <c r="D26" t="s">
        <v>108</v>
      </c>
      <c r="E26" t="s">
        <v>109</v>
      </c>
      <c r="F26" t="s">
        <v>110</v>
      </c>
      <c r="G26" s="13" t="s">
        <v>701</v>
      </c>
      <c r="H26">
        <v>100</v>
      </c>
      <c r="I26">
        <v>0</v>
      </c>
      <c r="J26">
        <v>0</v>
      </c>
      <c r="K26">
        <v>0</v>
      </c>
      <c r="L26">
        <v>0</v>
      </c>
      <c r="U26" s="1"/>
    </row>
    <row r="27" spans="1:21" x14ac:dyDescent="0.3">
      <c r="A27" s="42" t="s">
        <v>107</v>
      </c>
      <c r="B27" t="s">
        <v>21</v>
      </c>
      <c r="C27" t="s">
        <v>22</v>
      </c>
      <c r="D27" t="s">
        <v>108</v>
      </c>
      <c r="E27" t="s">
        <v>109</v>
      </c>
      <c r="F27" t="s">
        <v>110</v>
      </c>
      <c r="G27" t="s">
        <v>702</v>
      </c>
      <c r="H27">
        <v>10</v>
      </c>
      <c r="I27">
        <v>0</v>
      </c>
      <c r="J27">
        <v>0</v>
      </c>
      <c r="K27">
        <v>0</v>
      </c>
      <c r="L27">
        <v>0</v>
      </c>
      <c r="Q27">
        <v>1</v>
      </c>
      <c r="T27">
        <v>14</v>
      </c>
      <c r="U27" s="1"/>
    </row>
    <row r="28" spans="1:21" x14ac:dyDescent="0.3">
      <c r="A28" t="s">
        <v>112</v>
      </c>
      <c r="B28" t="s">
        <v>113</v>
      </c>
      <c r="C28" t="s">
        <v>22</v>
      </c>
      <c r="D28" t="s">
        <v>114</v>
      </c>
      <c r="E28" t="s">
        <v>115</v>
      </c>
      <c r="F28" t="s">
        <v>92</v>
      </c>
      <c r="G28" t="s">
        <v>116</v>
      </c>
      <c r="H28">
        <v>0</v>
      </c>
      <c r="I28">
        <v>0</v>
      </c>
      <c r="J28">
        <v>0</v>
      </c>
      <c r="K28">
        <v>0</v>
      </c>
      <c r="L28">
        <v>0</v>
      </c>
      <c r="Q28">
        <v>4</v>
      </c>
      <c r="T28">
        <v>14</v>
      </c>
      <c r="U28" s="1"/>
    </row>
    <row r="29" spans="1:21" x14ac:dyDescent="0.3">
      <c r="A29" t="s">
        <v>117</v>
      </c>
      <c r="B29" t="s">
        <v>28</v>
      </c>
      <c r="D29" s="18" t="s">
        <v>118</v>
      </c>
      <c r="E29" s="10" t="s">
        <v>119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21" x14ac:dyDescent="0.3">
      <c r="A30" t="s">
        <v>120</v>
      </c>
      <c r="B30" t="s">
        <v>28</v>
      </c>
      <c r="C30" t="s">
        <v>22</v>
      </c>
      <c r="D30" s="18" t="s">
        <v>121</v>
      </c>
      <c r="E30" s="10" t="s">
        <v>122</v>
      </c>
      <c r="F30" t="s">
        <v>32</v>
      </c>
      <c r="G30" t="s">
        <v>123</v>
      </c>
      <c r="H30">
        <v>0</v>
      </c>
      <c r="I30">
        <v>0</v>
      </c>
      <c r="J30">
        <v>0</v>
      </c>
      <c r="K30">
        <v>0</v>
      </c>
      <c r="L30">
        <v>0</v>
      </c>
      <c r="O30">
        <v>11</v>
      </c>
    </row>
    <row r="31" spans="1:21" x14ac:dyDescent="0.3">
      <c r="A31" t="s">
        <v>124</v>
      </c>
      <c r="B31" t="s">
        <v>28</v>
      </c>
      <c r="C31" t="s">
        <v>22</v>
      </c>
      <c r="D31" s="18" t="s">
        <v>121</v>
      </c>
      <c r="E31" s="10" t="s">
        <v>122</v>
      </c>
      <c r="F31" t="s">
        <v>32</v>
      </c>
      <c r="G31" t="s">
        <v>34</v>
      </c>
      <c r="H31">
        <v>0</v>
      </c>
      <c r="I31">
        <v>0</v>
      </c>
      <c r="J31">
        <v>0</v>
      </c>
      <c r="K31">
        <v>0</v>
      </c>
      <c r="L31">
        <v>0</v>
      </c>
      <c r="O31">
        <v>11</v>
      </c>
    </row>
    <row r="32" spans="1:21" x14ac:dyDescent="0.3">
      <c r="A32" t="s">
        <v>125</v>
      </c>
      <c r="B32" t="s">
        <v>28</v>
      </c>
      <c r="C32" t="s">
        <v>22</v>
      </c>
      <c r="D32" s="18" t="s">
        <v>126</v>
      </c>
      <c r="E32" s="10" t="s">
        <v>127</v>
      </c>
      <c r="F32" t="s">
        <v>32</v>
      </c>
      <c r="G32" t="s">
        <v>128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21" x14ac:dyDescent="0.3">
      <c r="A33" t="s">
        <v>129</v>
      </c>
      <c r="B33" t="s">
        <v>21</v>
      </c>
      <c r="C33" t="s">
        <v>22</v>
      </c>
      <c r="D33" s="18" t="s">
        <v>130</v>
      </c>
      <c r="E33" s="10" t="s">
        <v>131</v>
      </c>
      <c r="F33" t="s">
        <v>32</v>
      </c>
      <c r="G33" t="s">
        <v>132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21" x14ac:dyDescent="0.3">
      <c r="A34" t="s">
        <v>129</v>
      </c>
      <c r="B34" t="s">
        <v>21</v>
      </c>
      <c r="C34" t="s">
        <v>22</v>
      </c>
      <c r="D34" s="18" t="s">
        <v>130</v>
      </c>
      <c r="E34" s="10" t="s">
        <v>131</v>
      </c>
      <c r="F34" t="s">
        <v>32</v>
      </c>
      <c r="G34" t="s">
        <v>133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21" x14ac:dyDescent="0.3">
      <c r="A35" t="s">
        <v>134</v>
      </c>
      <c r="B35" t="s">
        <v>28</v>
      </c>
      <c r="C35" t="s">
        <v>29</v>
      </c>
      <c r="D35" t="s">
        <v>135</v>
      </c>
      <c r="E35" t="s">
        <v>136</v>
      </c>
      <c r="F35" t="s">
        <v>137</v>
      </c>
      <c r="G35" t="s">
        <v>138</v>
      </c>
      <c r="H35">
        <v>0</v>
      </c>
      <c r="I35">
        <v>0</v>
      </c>
      <c r="J35">
        <v>0</v>
      </c>
      <c r="K35">
        <v>0</v>
      </c>
      <c r="L35">
        <v>0</v>
      </c>
      <c r="O35">
        <v>8</v>
      </c>
      <c r="Q35">
        <v>6</v>
      </c>
      <c r="T35">
        <v>14</v>
      </c>
      <c r="U35" s="1"/>
    </row>
    <row r="36" spans="1:21" x14ac:dyDescent="0.3">
      <c r="A36" s="41" t="s">
        <v>139</v>
      </c>
      <c r="B36" t="s">
        <v>21</v>
      </c>
      <c r="C36" t="s">
        <v>22</v>
      </c>
      <c r="D36" t="s">
        <v>140</v>
      </c>
      <c r="E36" t="s">
        <v>141</v>
      </c>
      <c r="F36" t="s">
        <v>142</v>
      </c>
      <c r="G36" t="s">
        <v>143</v>
      </c>
      <c r="H36">
        <v>30</v>
      </c>
      <c r="I36">
        <v>8</v>
      </c>
      <c r="J36">
        <v>8</v>
      </c>
      <c r="K36">
        <v>0</v>
      </c>
      <c r="L36">
        <v>0</v>
      </c>
      <c r="Q36">
        <v>8</v>
      </c>
      <c r="T36">
        <v>11</v>
      </c>
      <c r="U36" s="1"/>
    </row>
    <row r="37" spans="1:21" x14ac:dyDescent="0.3">
      <c r="A37" s="41" t="s">
        <v>139</v>
      </c>
      <c r="B37" t="s">
        <v>21</v>
      </c>
      <c r="C37" t="s">
        <v>22</v>
      </c>
      <c r="D37" t="s">
        <v>140</v>
      </c>
      <c r="E37" t="s">
        <v>141</v>
      </c>
      <c r="F37" t="s">
        <v>142</v>
      </c>
      <c r="G37" t="s">
        <v>700</v>
      </c>
      <c r="H37">
        <v>35</v>
      </c>
      <c r="I37">
        <v>10</v>
      </c>
      <c r="J37">
        <v>10</v>
      </c>
      <c r="K37">
        <v>0</v>
      </c>
      <c r="L37">
        <v>0</v>
      </c>
      <c r="Q37">
        <v>9</v>
      </c>
      <c r="T37">
        <v>15</v>
      </c>
      <c r="U37" s="1"/>
    </row>
    <row r="38" spans="1:21" x14ac:dyDescent="0.3">
      <c r="A38" s="41" t="s">
        <v>139</v>
      </c>
      <c r="B38" t="s">
        <v>21</v>
      </c>
      <c r="C38" t="s">
        <v>22</v>
      </c>
      <c r="D38" t="s">
        <v>140</v>
      </c>
      <c r="E38" t="s">
        <v>141</v>
      </c>
      <c r="F38" t="s">
        <v>142</v>
      </c>
      <c r="G38" t="s">
        <v>536</v>
      </c>
      <c r="H38">
        <v>16</v>
      </c>
      <c r="I38">
        <v>4</v>
      </c>
      <c r="J38">
        <v>4</v>
      </c>
      <c r="K38">
        <v>0</v>
      </c>
      <c r="L38">
        <v>0</v>
      </c>
      <c r="Q38">
        <v>17</v>
      </c>
      <c r="T38">
        <v>11</v>
      </c>
      <c r="U38" s="1"/>
    </row>
    <row r="39" spans="1:21" x14ac:dyDescent="0.3">
      <c r="A39" t="s">
        <v>146</v>
      </c>
      <c r="B39" t="s">
        <v>21</v>
      </c>
      <c r="C39" t="s">
        <v>29</v>
      </c>
      <c r="D39" t="s">
        <v>147</v>
      </c>
      <c r="E39" t="s">
        <v>148</v>
      </c>
      <c r="F39" t="s">
        <v>25</v>
      </c>
      <c r="G39" t="s">
        <v>149</v>
      </c>
      <c r="H39">
        <v>0</v>
      </c>
      <c r="I39">
        <v>0</v>
      </c>
      <c r="J39">
        <v>0</v>
      </c>
      <c r="K39">
        <v>0</v>
      </c>
      <c r="L39">
        <v>0</v>
      </c>
      <c r="O39">
        <v>23</v>
      </c>
      <c r="Q39">
        <v>23</v>
      </c>
      <c r="R39">
        <v>15.5</v>
      </c>
      <c r="S39">
        <v>22.5</v>
      </c>
      <c r="T39">
        <v>16.5</v>
      </c>
      <c r="U39" s="1"/>
    </row>
    <row r="40" spans="1:21" x14ac:dyDescent="0.3">
      <c r="A40" s="2" t="s">
        <v>146</v>
      </c>
      <c r="B40" t="s">
        <v>21</v>
      </c>
      <c r="C40" t="s">
        <v>29</v>
      </c>
      <c r="D40" t="s">
        <v>147</v>
      </c>
      <c r="E40" t="s">
        <v>148</v>
      </c>
      <c r="F40" t="s">
        <v>25</v>
      </c>
      <c r="G40" t="s">
        <v>150</v>
      </c>
      <c r="H40">
        <v>0</v>
      </c>
      <c r="I40">
        <v>0</v>
      </c>
      <c r="J40">
        <v>0</v>
      </c>
      <c r="K40">
        <v>0</v>
      </c>
      <c r="L40">
        <v>0</v>
      </c>
      <c r="O40">
        <v>25</v>
      </c>
      <c r="Q40">
        <v>19</v>
      </c>
      <c r="R40">
        <v>11</v>
      </c>
      <c r="S40">
        <v>18.5</v>
      </c>
      <c r="T40">
        <v>12.5</v>
      </c>
      <c r="U40" s="1"/>
    </row>
    <row r="41" spans="1:21" x14ac:dyDescent="0.3">
      <c r="A41" t="s">
        <v>146</v>
      </c>
      <c r="B41" t="s">
        <v>21</v>
      </c>
      <c r="C41" t="s">
        <v>29</v>
      </c>
      <c r="D41" t="s">
        <v>147</v>
      </c>
      <c r="E41" t="s">
        <v>148</v>
      </c>
      <c r="F41" t="s">
        <v>25</v>
      </c>
      <c r="G41" t="s">
        <v>151</v>
      </c>
      <c r="H41">
        <v>0</v>
      </c>
      <c r="I41">
        <v>0</v>
      </c>
      <c r="J41">
        <v>0</v>
      </c>
      <c r="K41">
        <v>0</v>
      </c>
      <c r="L41">
        <v>0</v>
      </c>
      <c r="Q41">
        <v>10.5</v>
      </c>
      <c r="R41">
        <v>6.5</v>
      </c>
      <c r="S41">
        <v>11.5</v>
      </c>
      <c r="T41">
        <v>6.5</v>
      </c>
      <c r="U41" s="1"/>
    </row>
    <row r="42" spans="1:21" x14ac:dyDescent="0.3">
      <c r="A42" t="s">
        <v>152</v>
      </c>
      <c r="B42" t="s">
        <v>28</v>
      </c>
      <c r="C42" t="s">
        <v>22</v>
      </c>
      <c r="D42" t="s">
        <v>153</v>
      </c>
      <c r="E42" t="s">
        <v>154</v>
      </c>
      <c r="F42" t="s">
        <v>155</v>
      </c>
      <c r="G42" t="s">
        <v>156</v>
      </c>
      <c r="H42">
        <v>0</v>
      </c>
      <c r="I42">
        <v>0</v>
      </c>
      <c r="J42">
        <v>0</v>
      </c>
      <c r="K42">
        <v>0</v>
      </c>
      <c r="L42">
        <v>0</v>
      </c>
      <c r="O42">
        <v>5</v>
      </c>
      <c r="Q42">
        <v>10</v>
      </c>
      <c r="T42">
        <v>2</v>
      </c>
      <c r="U42" s="1"/>
    </row>
    <row r="43" spans="1:21" x14ac:dyDescent="0.3">
      <c r="A43" t="s">
        <v>157</v>
      </c>
      <c r="B43" t="s">
        <v>53</v>
      </c>
      <c r="C43" t="s">
        <v>22</v>
      </c>
      <c r="D43" t="s">
        <v>153</v>
      </c>
      <c r="E43" t="s">
        <v>154</v>
      </c>
      <c r="F43" t="s">
        <v>56</v>
      </c>
      <c r="G43" t="s">
        <v>158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21" x14ac:dyDescent="0.3">
      <c r="A44" t="s">
        <v>159</v>
      </c>
      <c r="B44" t="s">
        <v>28</v>
      </c>
      <c r="C44" t="s">
        <v>22</v>
      </c>
      <c r="D44" t="s">
        <v>160</v>
      </c>
      <c r="E44" t="s">
        <v>161</v>
      </c>
      <c r="F44" t="s">
        <v>162</v>
      </c>
      <c r="G44" t="s">
        <v>698</v>
      </c>
      <c r="H44">
        <v>0</v>
      </c>
      <c r="I44">
        <v>0</v>
      </c>
      <c r="J44">
        <v>0</v>
      </c>
      <c r="K44">
        <v>0</v>
      </c>
      <c r="L44">
        <v>0</v>
      </c>
      <c r="O44">
        <v>6</v>
      </c>
      <c r="Q44">
        <v>3</v>
      </c>
      <c r="T44">
        <v>11</v>
      </c>
      <c r="U44" s="1"/>
    </row>
    <row r="45" spans="1:21" x14ac:dyDescent="0.3">
      <c r="A45" t="s">
        <v>164</v>
      </c>
      <c r="B45" t="s">
        <v>28</v>
      </c>
      <c r="C45" t="s">
        <v>22</v>
      </c>
      <c r="D45" t="s">
        <v>165</v>
      </c>
      <c r="E45" t="s">
        <v>166</v>
      </c>
      <c r="F45" t="s">
        <v>32</v>
      </c>
      <c r="G45" t="s">
        <v>167</v>
      </c>
      <c r="H45">
        <v>0</v>
      </c>
      <c r="I45">
        <v>0</v>
      </c>
      <c r="J45">
        <v>0</v>
      </c>
      <c r="K45">
        <v>0</v>
      </c>
      <c r="L45">
        <v>0</v>
      </c>
      <c r="Q45">
        <v>12</v>
      </c>
      <c r="T45">
        <v>5</v>
      </c>
      <c r="U45" s="1"/>
    </row>
    <row r="46" spans="1:21" x14ac:dyDescent="0.3">
      <c r="A46" t="s">
        <v>164</v>
      </c>
      <c r="B46" t="s">
        <v>53</v>
      </c>
      <c r="C46" t="s">
        <v>22</v>
      </c>
      <c r="D46" t="s">
        <v>165</v>
      </c>
      <c r="E46" t="s">
        <v>166</v>
      </c>
      <c r="F46" t="s">
        <v>32</v>
      </c>
      <c r="G46" t="s">
        <v>168</v>
      </c>
      <c r="H46">
        <v>0</v>
      </c>
      <c r="I46">
        <v>0</v>
      </c>
      <c r="J46">
        <v>0</v>
      </c>
      <c r="K46">
        <v>0</v>
      </c>
      <c r="L46">
        <v>0</v>
      </c>
      <c r="Q46">
        <v>7.5</v>
      </c>
      <c r="R46">
        <v>5</v>
      </c>
      <c r="S46">
        <v>9.5</v>
      </c>
      <c r="T46">
        <v>3.5</v>
      </c>
    </row>
    <row r="47" spans="1:21" x14ac:dyDescent="0.3">
      <c r="A47" t="s">
        <v>164</v>
      </c>
      <c r="B47" t="s">
        <v>53</v>
      </c>
      <c r="C47" t="s">
        <v>22</v>
      </c>
      <c r="D47" t="s">
        <v>165</v>
      </c>
      <c r="E47" t="s">
        <v>166</v>
      </c>
      <c r="F47" t="s">
        <v>32</v>
      </c>
      <c r="G47" t="s">
        <v>169</v>
      </c>
      <c r="H47">
        <v>0</v>
      </c>
      <c r="I47">
        <v>0</v>
      </c>
      <c r="J47">
        <v>0</v>
      </c>
      <c r="K47">
        <v>0</v>
      </c>
      <c r="L47">
        <v>0</v>
      </c>
      <c r="Q47">
        <v>9.5</v>
      </c>
      <c r="R47">
        <v>3</v>
      </c>
      <c r="S47">
        <v>9.5</v>
      </c>
      <c r="T47">
        <v>3.5</v>
      </c>
    </row>
    <row r="48" spans="1:21" x14ac:dyDescent="0.3">
      <c r="A48" t="s">
        <v>164</v>
      </c>
      <c r="B48" t="s">
        <v>53</v>
      </c>
      <c r="C48" t="s">
        <v>22</v>
      </c>
      <c r="D48" t="s">
        <v>165</v>
      </c>
      <c r="E48" t="s">
        <v>166</v>
      </c>
      <c r="F48" t="s">
        <v>32</v>
      </c>
      <c r="G48" t="s">
        <v>167</v>
      </c>
      <c r="H48">
        <v>0</v>
      </c>
      <c r="I48">
        <v>0</v>
      </c>
      <c r="J48">
        <v>0</v>
      </c>
      <c r="K48">
        <v>0</v>
      </c>
      <c r="L48">
        <v>0</v>
      </c>
      <c r="Q48">
        <v>10</v>
      </c>
      <c r="R48">
        <v>3.5</v>
      </c>
      <c r="S48">
        <v>10</v>
      </c>
      <c r="T48">
        <v>4.5</v>
      </c>
    </row>
    <row r="49" spans="1:21" x14ac:dyDescent="0.3">
      <c r="A49" t="s">
        <v>170</v>
      </c>
      <c r="B49" t="s">
        <v>113</v>
      </c>
      <c r="D49" t="s">
        <v>171</v>
      </c>
      <c r="E49" t="s">
        <v>172</v>
      </c>
      <c r="F49" t="s">
        <v>56</v>
      </c>
      <c r="G49" t="s">
        <v>173</v>
      </c>
      <c r="H49">
        <v>0</v>
      </c>
      <c r="I49">
        <v>0</v>
      </c>
      <c r="J49">
        <v>0</v>
      </c>
      <c r="K49">
        <v>0</v>
      </c>
      <c r="L49">
        <v>0</v>
      </c>
      <c r="Q49">
        <v>7</v>
      </c>
      <c r="T49">
        <v>4</v>
      </c>
      <c r="U49" s="1"/>
    </row>
    <row r="50" spans="1:21" x14ac:dyDescent="0.3">
      <c r="A50" t="s">
        <v>170</v>
      </c>
      <c r="B50" t="s">
        <v>53</v>
      </c>
      <c r="D50" t="s">
        <v>171</v>
      </c>
      <c r="E50" t="s">
        <v>172</v>
      </c>
      <c r="F50" t="s">
        <v>56</v>
      </c>
      <c r="G50" t="s">
        <v>174</v>
      </c>
      <c r="H50">
        <v>0</v>
      </c>
      <c r="I50">
        <v>0</v>
      </c>
      <c r="J50">
        <v>0</v>
      </c>
      <c r="K50">
        <v>0</v>
      </c>
      <c r="L50">
        <v>0</v>
      </c>
      <c r="Q50">
        <v>6</v>
      </c>
      <c r="R50">
        <v>8</v>
      </c>
      <c r="S50">
        <v>1.5</v>
      </c>
      <c r="T50">
        <v>5.5</v>
      </c>
    </row>
    <row r="51" spans="1:21" x14ac:dyDescent="0.3">
      <c r="A51" t="s">
        <v>170</v>
      </c>
      <c r="B51" t="s">
        <v>53</v>
      </c>
      <c r="C51" t="s">
        <v>175</v>
      </c>
      <c r="D51" t="s">
        <v>171</v>
      </c>
      <c r="E51" t="s">
        <v>172</v>
      </c>
      <c r="F51" t="s">
        <v>56</v>
      </c>
      <c r="G51" t="s">
        <v>173</v>
      </c>
      <c r="H51">
        <v>0</v>
      </c>
      <c r="I51">
        <v>0</v>
      </c>
      <c r="J51">
        <v>0</v>
      </c>
      <c r="K51">
        <v>0</v>
      </c>
      <c r="L51">
        <v>0</v>
      </c>
      <c r="Q51">
        <v>6.5</v>
      </c>
      <c r="R51">
        <v>5</v>
      </c>
      <c r="S51">
        <v>9</v>
      </c>
      <c r="T51">
        <v>3.5</v>
      </c>
    </row>
    <row r="52" spans="1:21" x14ac:dyDescent="0.3">
      <c r="A52" t="s">
        <v>176</v>
      </c>
      <c r="B52" t="s">
        <v>28</v>
      </c>
      <c r="C52" t="s">
        <v>22</v>
      </c>
      <c r="D52" s="18" t="s">
        <v>177</v>
      </c>
      <c r="E52" s="10" t="s">
        <v>178</v>
      </c>
      <c r="F52" t="s">
        <v>38</v>
      </c>
      <c r="G52" t="s">
        <v>179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21" x14ac:dyDescent="0.3">
      <c r="A53" t="s">
        <v>180</v>
      </c>
      <c r="B53" t="s">
        <v>21</v>
      </c>
      <c r="C53" t="s">
        <v>22</v>
      </c>
      <c r="D53" s="18" t="s">
        <v>181</v>
      </c>
      <c r="E53" s="10" t="s">
        <v>182</v>
      </c>
      <c r="F53" t="s">
        <v>92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21" x14ac:dyDescent="0.3">
      <c r="A54" t="s">
        <v>183</v>
      </c>
      <c r="B54" t="s">
        <v>28</v>
      </c>
      <c r="C54" t="s">
        <v>22</v>
      </c>
      <c r="D54" t="s">
        <v>184</v>
      </c>
      <c r="E54" t="s">
        <v>185</v>
      </c>
      <c r="F54" t="s">
        <v>186</v>
      </c>
      <c r="G54" t="s">
        <v>187</v>
      </c>
      <c r="H54">
        <v>0</v>
      </c>
      <c r="I54">
        <v>0</v>
      </c>
      <c r="J54">
        <v>0</v>
      </c>
      <c r="K54">
        <v>0</v>
      </c>
      <c r="L54">
        <v>0</v>
      </c>
      <c r="U54" s="1"/>
    </row>
    <row r="55" spans="1:21" x14ac:dyDescent="0.3">
      <c r="A55" s="41" t="s">
        <v>703</v>
      </c>
      <c r="G55" t="s">
        <v>704</v>
      </c>
      <c r="H55">
        <v>30</v>
      </c>
      <c r="I55">
        <v>0</v>
      </c>
      <c r="J55">
        <v>0</v>
      </c>
      <c r="K55">
        <v>0</v>
      </c>
      <c r="L55">
        <v>0</v>
      </c>
      <c r="Q55">
        <v>15</v>
      </c>
      <c r="T55">
        <v>7</v>
      </c>
      <c r="U55" s="1"/>
    </row>
    <row r="56" spans="1:21" x14ac:dyDescent="0.3">
      <c r="A56" s="41" t="s">
        <v>188</v>
      </c>
      <c r="B56" t="s">
        <v>21</v>
      </c>
      <c r="C56" t="s">
        <v>22</v>
      </c>
      <c r="D56" t="s">
        <v>189</v>
      </c>
      <c r="E56" t="s">
        <v>190</v>
      </c>
      <c r="F56" t="s">
        <v>191</v>
      </c>
      <c r="G56" t="s">
        <v>192</v>
      </c>
      <c r="H56">
        <v>50</v>
      </c>
      <c r="I56">
        <v>25</v>
      </c>
      <c r="J56">
        <v>15</v>
      </c>
      <c r="K56">
        <v>0</v>
      </c>
      <c r="L56">
        <v>3</v>
      </c>
      <c r="Q56">
        <v>20</v>
      </c>
      <c r="T56">
        <v>5</v>
      </c>
      <c r="U56" s="1"/>
    </row>
    <row r="57" spans="1:21" x14ac:dyDescent="0.3">
      <c r="A57" t="s">
        <v>193</v>
      </c>
      <c r="B57" t="s">
        <v>28</v>
      </c>
      <c r="C57" t="s">
        <v>22</v>
      </c>
      <c r="D57" t="s">
        <v>194</v>
      </c>
      <c r="E57" t="s">
        <v>195</v>
      </c>
      <c r="F57" t="s">
        <v>43</v>
      </c>
      <c r="G57" t="s">
        <v>196</v>
      </c>
      <c r="H57">
        <v>0</v>
      </c>
      <c r="I57">
        <v>0</v>
      </c>
      <c r="J57">
        <v>0</v>
      </c>
      <c r="K57">
        <v>0</v>
      </c>
      <c r="L57">
        <v>0</v>
      </c>
      <c r="Q57">
        <v>6</v>
      </c>
      <c r="T57">
        <v>13</v>
      </c>
      <c r="U57" s="1"/>
    </row>
    <row r="58" spans="1:21" x14ac:dyDescent="0.3">
      <c r="A58" t="s">
        <v>202</v>
      </c>
      <c r="B58" t="s">
        <v>28</v>
      </c>
      <c r="C58" t="s">
        <v>22</v>
      </c>
      <c r="D58" t="s">
        <v>198</v>
      </c>
      <c r="E58" t="s">
        <v>199</v>
      </c>
      <c r="F58" t="s">
        <v>92</v>
      </c>
      <c r="G58" t="s">
        <v>203</v>
      </c>
      <c r="H58">
        <v>0</v>
      </c>
      <c r="I58">
        <v>0</v>
      </c>
      <c r="J58">
        <v>0</v>
      </c>
      <c r="K58">
        <v>0</v>
      </c>
      <c r="L58">
        <v>0</v>
      </c>
      <c r="Q58">
        <v>3.5</v>
      </c>
      <c r="R58">
        <v>14</v>
      </c>
      <c r="S58">
        <v>7.5</v>
      </c>
      <c r="T58">
        <v>10.5</v>
      </c>
      <c r="U58" s="1"/>
    </row>
    <row r="59" spans="1:21" x14ac:dyDescent="0.3">
      <c r="A59" s="2" t="s">
        <v>197</v>
      </c>
      <c r="B59" t="s">
        <v>21</v>
      </c>
      <c r="C59" t="s">
        <v>22</v>
      </c>
      <c r="D59" t="s">
        <v>198</v>
      </c>
      <c r="E59" t="s">
        <v>199</v>
      </c>
      <c r="F59" t="s">
        <v>200</v>
      </c>
      <c r="G59" t="s">
        <v>201</v>
      </c>
      <c r="H59">
        <v>0</v>
      </c>
      <c r="I59">
        <v>0</v>
      </c>
      <c r="J59">
        <v>0</v>
      </c>
      <c r="K59">
        <v>0</v>
      </c>
      <c r="L59">
        <v>0</v>
      </c>
      <c r="Q59">
        <v>31</v>
      </c>
      <c r="T59">
        <v>19</v>
      </c>
      <c r="U59" s="1"/>
    </row>
    <row r="60" spans="1:21" x14ac:dyDescent="0.3">
      <c r="A60" s="10" t="s">
        <v>204</v>
      </c>
      <c r="B60" t="s">
        <v>21</v>
      </c>
      <c r="C60" t="s">
        <v>22</v>
      </c>
      <c r="D60" s="10" t="s">
        <v>205</v>
      </c>
      <c r="E60" s="10" t="s">
        <v>206</v>
      </c>
      <c r="F60" t="s">
        <v>92</v>
      </c>
      <c r="G60" t="s">
        <v>207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21" x14ac:dyDescent="0.3">
      <c r="A61" s="48" t="s">
        <v>204</v>
      </c>
      <c r="B61" t="s">
        <v>21</v>
      </c>
      <c r="C61" t="s">
        <v>22</v>
      </c>
      <c r="D61" s="10" t="s">
        <v>205</v>
      </c>
      <c r="E61" s="10" t="s">
        <v>206</v>
      </c>
      <c r="F61" t="s">
        <v>92</v>
      </c>
      <c r="G61" t="s">
        <v>709</v>
      </c>
      <c r="H61">
        <v>35</v>
      </c>
      <c r="I61">
        <v>14</v>
      </c>
      <c r="J61">
        <v>4</v>
      </c>
      <c r="K61">
        <v>9</v>
      </c>
      <c r="L61">
        <v>1</v>
      </c>
      <c r="Q61">
        <v>15</v>
      </c>
      <c r="T61">
        <v>10</v>
      </c>
    </row>
    <row r="62" spans="1:21" x14ac:dyDescent="0.3">
      <c r="A62" t="s">
        <v>208</v>
      </c>
      <c r="B62" t="s">
        <v>21</v>
      </c>
      <c r="C62" t="s">
        <v>22</v>
      </c>
      <c r="D62" t="s">
        <v>209</v>
      </c>
      <c r="E62" t="s">
        <v>210</v>
      </c>
      <c r="F62" t="s">
        <v>211</v>
      </c>
      <c r="G62" t="s">
        <v>212</v>
      </c>
      <c r="H62">
        <v>0</v>
      </c>
      <c r="I62">
        <v>0</v>
      </c>
      <c r="J62">
        <v>0</v>
      </c>
      <c r="K62">
        <v>0</v>
      </c>
      <c r="L62">
        <v>0</v>
      </c>
      <c r="Q62">
        <v>10.5</v>
      </c>
      <c r="R62">
        <v>6.5</v>
      </c>
      <c r="S62">
        <v>10</v>
      </c>
      <c r="T62">
        <v>6.5</v>
      </c>
    </row>
    <row r="63" spans="1:21" x14ac:dyDescent="0.3">
      <c r="A63" t="s">
        <v>208</v>
      </c>
      <c r="B63" t="s">
        <v>21</v>
      </c>
      <c r="C63" t="s">
        <v>22</v>
      </c>
      <c r="D63" t="s">
        <v>209</v>
      </c>
      <c r="E63" t="s">
        <v>213</v>
      </c>
      <c r="F63" t="s">
        <v>211</v>
      </c>
      <c r="G63" t="s">
        <v>214</v>
      </c>
      <c r="H63">
        <v>0</v>
      </c>
      <c r="I63">
        <v>0</v>
      </c>
      <c r="J63">
        <v>0</v>
      </c>
      <c r="K63">
        <v>0</v>
      </c>
      <c r="L63">
        <v>0</v>
      </c>
      <c r="Q63">
        <v>16</v>
      </c>
      <c r="R63">
        <v>11.5</v>
      </c>
      <c r="S63">
        <v>16</v>
      </c>
      <c r="T63">
        <v>11</v>
      </c>
    </row>
    <row r="64" spans="1:21" x14ac:dyDescent="0.3">
      <c r="A64" t="s">
        <v>208</v>
      </c>
      <c r="B64" t="s">
        <v>21</v>
      </c>
      <c r="C64" t="s">
        <v>22</v>
      </c>
      <c r="D64" t="s">
        <v>209</v>
      </c>
      <c r="E64" t="s">
        <v>215</v>
      </c>
      <c r="F64" t="s">
        <v>211</v>
      </c>
      <c r="G64" t="s">
        <v>216</v>
      </c>
      <c r="H64">
        <v>0</v>
      </c>
      <c r="I64">
        <v>0</v>
      </c>
      <c r="J64">
        <v>0</v>
      </c>
      <c r="K64">
        <v>0</v>
      </c>
      <c r="L64">
        <v>0</v>
      </c>
      <c r="Q64">
        <v>17.5</v>
      </c>
      <c r="R64">
        <v>12</v>
      </c>
      <c r="S64">
        <v>17.5</v>
      </c>
      <c r="T64">
        <v>12.5</v>
      </c>
    </row>
    <row r="65" spans="1:21" x14ac:dyDescent="0.3">
      <c r="A65" t="s">
        <v>208</v>
      </c>
      <c r="B65" t="s">
        <v>21</v>
      </c>
      <c r="C65" t="s">
        <v>22</v>
      </c>
      <c r="D65" t="s">
        <v>209</v>
      </c>
      <c r="E65" t="s">
        <v>213</v>
      </c>
      <c r="F65" t="s">
        <v>211</v>
      </c>
      <c r="G65" t="s">
        <v>217</v>
      </c>
      <c r="H65">
        <v>0</v>
      </c>
      <c r="I65">
        <v>0</v>
      </c>
      <c r="J65">
        <v>0</v>
      </c>
      <c r="K65">
        <v>0</v>
      </c>
      <c r="L65">
        <v>0</v>
      </c>
      <c r="Q65">
        <v>20.5</v>
      </c>
      <c r="R65">
        <v>13</v>
      </c>
      <c r="S65">
        <v>20</v>
      </c>
      <c r="T65">
        <v>15</v>
      </c>
    </row>
    <row r="66" spans="1:21" x14ac:dyDescent="0.3">
      <c r="A66" t="s">
        <v>208</v>
      </c>
      <c r="B66" t="s">
        <v>21</v>
      </c>
      <c r="C66" t="s">
        <v>22</v>
      </c>
      <c r="D66" t="s">
        <v>209</v>
      </c>
      <c r="E66" t="s">
        <v>215</v>
      </c>
      <c r="F66" t="s">
        <v>211</v>
      </c>
      <c r="G66" t="s">
        <v>218</v>
      </c>
      <c r="H66">
        <v>0</v>
      </c>
      <c r="I66">
        <v>0</v>
      </c>
      <c r="J66">
        <v>0</v>
      </c>
      <c r="K66">
        <v>0</v>
      </c>
      <c r="L66">
        <v>0</v>
      </c>
      <c r="Q66">
        <v>23</v>
      </c>
      <c r="R66">
        <v>15</v>
      </c>
      <c r="S66">
        <v>22.5</v>
      </c>
      <c r="T66">
        <v>16.5</v>
      </c>
    </row>
    <row r="67" spans="1:21" x14ac:dyDescent="0.3">
      <c r="A67" t="s">
        <v>219</v>
      </c>
      <c r="B67" t="s">
        <v>28</v>
      </c>
      <c r="C67" t="s">
        <v>22</v>
      </c>
      <c r="D67" t="s">
        <v>220</v>
      </c>
      <c r="E67" t="s">
        <v>221</v>
      </c>
      <c r="F67" t="s">
        <v>25</v>
      </c>
      <c r="G67" t="s">
        <v>163</v>
      </c>
      <c r="H67">
        <v>0</v>
      </c>
      <c r="I67">
        <v>0</v>
      </c>
      <c r="J67">
        <v>0</v>
      </c>
      <c r="K67">
        <v>0</v>
      </c>
      <c r="L67">
        <v>0</v>
      </c>
      <c r="Q67">
        <v>9</v>
      </c>
      <c r="T67">
        <v>19</v>
      </c>
      <c r="U67" s="1"/>
    </row>
    <row r="68" spans="1:21" x14ac:dyDescent="0.3">
      <c r="A68" t="s">
        <v>222</v>
      </c>
      <c r="B68" t="s">
        <v>21</v>
      </c>
      <c r="C68" t="s">
        <v>29</v>
      </c>
      <c r="D68" s="43" t="s">
        <v>223</v>
      </c>
      <c r="E68" s="10" t="s">
        <v>224</v>
      </c>
      <c r="F68" t="s">
        <v>211</v>
      </c>
      <c r="G68" t="s">
        <v>192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21" x14ac:dyDescent="0.3">
      <c r="A69" t="s">
        <v>222</v>
      </c>
      <c r="B69" t="s">
        <v>21</v>
      </c>
      <c r="C69" t="s">
        <v>29</v>
      </c>
      <c r="D69" s="43" t="s">
        <v>223</v>
      </c>
      <c r="E69" s="10" t="s">
        <v>224</v>
      </c>
      <c r="F69" t="s">
        <v>211</v>
      </c>
      <c r="G69" t="s">
        <v>225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21" x14ac:dyDescent="0.3">
      <c r="A70" t="s">
        <v>222</v>
      </c>
      <c r="B70" t="s">
        <v>21</v>
      </c>
      <c r="C70" t="s">
        <v>29</v>
      </c>
      <c r="D70" s="43" t="s">
        <v>223</v>
      </c>
      <c r="E70" s="10" t="s">
        <v>224</v>
      </c>
      <c r="F70" t="s">
        <v>211</v>
      </c>
      <c r="G70" t="s">
        <v>26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21" x14ac:dyDescent="0.3">
      <c r="A71" t="s">
        <v>222</v>
      </c>
      <c r="B71" t="s">
        <v>21</v>
      </c>
      <c r="C71" t="s">
        <v>29</v>
      </c>
      <c r="D71" s="43" t="s">
        <v>223</v>
      </c>
      <c r="E71" s="10" t="s">
        <v>224</v>
      </c>
      <c r="F71" t="s">
        <v>211</v>
      </c>
      <c r="G71" t="s">
        <v>226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21" x14ac:dyDescent="0.3">
      <c r="A72" t="s">
        <v>222</v>
      </c>
      <c r="B72" t="s">
        <v>21</v>
      </c>
      <c r="C72" t="s">
        <v>29</v>
      </c>
      <c r="D72" s="43" t="s">
        <v>223</v>
      </c>
      <c r="E72" s="10" t="s">
        <v>224</v>
      </c>
      <c r="F72" t="s">
        <v>211</v>
      </c>
      <c r="G72" t="s">
        <v>227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21" x14ac:dyDescent="0.3">
      <c r="A73" t="s">
        <v>222</v>
      </c>
      <c r="B73" t="s">
        <v>21</v>
      </c>
      <c r="C73" t="s">
        <v>29</v>
      </c>
      <c r="D73" s="43" t="s">
        <v>223</v>
      </c>
      <c r="E73" s="10" t="s">
        <v>224</v>
      </c>
      <c r="F73" t="s">
        <v>211</v>
      </c>
      <c r="G73" t="s">
        <v>228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21" x14ac:dyDescent="0.3">
      <c r="A74" t="s">
        <v>222</v>
      </c>
      <c r="B74" t="s">
        <v>21</v>
      </c>
      <c r="C74" t="s">
        <v>29</v>
      </c>
      <c r="D74" s="43" t="s">
        <v>223</v>
      </c>
      <c r="E74" s="10" t="s">
        <v>224</v>
      </c>
      <c r="F74" t="s">
        <v>211</v>
      </c>
      <c r="G74" t="s">
        <v>229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21" x14ac:dyDescent="0.3">
      <c r="A75" t="s">
        <v>230</v>
      </c>
      <c r="B75" t="s">
        <v>28</v>
      </c>
      <c r="C75" t="s">
        <v>22</v>
      </c>
      <c r="D75" t="s">
        <v>231</v>
      </c>
      <c r="E75" t="s">
        <v>232</v>
      </c>
      <c r="F75" t="s">
        <v>92</v>
      </c>
      <c r="G75" t="s">
        <v>233</v>
      </c>
      <c r="H75">
        <v>0</v>
      </c>
      <c r="I75">
        <v>0</v>
      </c>
      <c r="J75">
        <v>0</v>
      </c>
      <c r="K75">
        <v>0</v>
      </c>
      <c r="L75">
        <v>0</v>
      </c>
      <c r="Q75">
        <v>6</v>
      </c>
      <c r="T75">
        <v>15</v>
      </c>
      <c r="U75" s="1"/>
    </row>
    <row r="76" spans="1:21" x14ac:dyDescent="0.3">
      <c r="A76" s="41" t="s">
        <v>234</v>
      </c>
      <c r="B76" t="s">
        <v>21</v>
      </c>
      <c r="C76" t="s">
        <v>22</v>
      </c>
      <c r="D76" t="s">
        <v>235</v>
      </c>
      <c r="E76" t="s">
        <v>236</v>
      </c>
      <c r="F76" t="s">
        <v>38</v>
      </c>
      <c r="G76" t="s">
        <v>387</v>
      </c>
      <c r="H76">
        <v>80</v>
      </c>
      <c r="I76">
        <v>0</v>
      </c>
      <c r="J76">
        <v>0</v>
      </c>
      <c r="K76">
        <v>0</v>
      </c>
      <c r="L76">
        <v>0</v>
      </c>
      <c r="T76">
        <v>13</v>
      </c>
      <c r="U76" s="1"/>
    </row>
    <row r="77" spans="1:21" x14ac:dyDescent="0.3">
      <c r="A77" t="s">
        <v>238</v>
      </c>
      <c r="B77" t="s">
        <v>21</v>
      </c>
      <c r="C77" t="s">
        <v>22</v>
      </c>
      <c r="D77" t="s">
        <v>239</v>
      </c>
      <c r="E77" t="s">
        <v>240</v>
      </c>
      <c r="F77" t="s">
        <v>92</v>
      </c>
      <c r="G77" t="s">
        <v>241</v>
      </c>
      <c r="H77">
        <v>0</v>
      </c>
      <c r="I77">
        <v>0</v>
      </c>
      <c r="J77">
        <v>0</v>
      </c>
      <c r="K77">
        <v>0</v>
      </c>
      <c r="L77">
        <v>0</v>
      </c>
      <c r="Q77">
        <v>7</v>
      </c>
      <c r="T77">
        <v>11</v>
      </c>
      <c r="U77" s="1"/>
    </row>
    <row r="78" spans="1:21" x14ac:dyDescent="0.3">
      <c r="A78" t="s">
        <v>238</v>
      </c>
      <c r="B78" t="s">
        <v>21</v>
      </c>
      <c r="C78" t="s">
        <v>22</v>
      </c>
      <c r="D78" t="s">
        <v>239</v>
      </c>
      <c r="E78" t="s">
        <v>240</v>
      </c>
      <c r="F78" t="s">
        <v>92</v>
      </c>
      <c r="G78" t="s">
        <v>242</v>
      </c>
      <c r="H78">
        <v>0</v>
      </c>
      <c r="I78">
        <v>0</v>
      </c>
      <c r="J78">
        <v>0</v>
      </c>
      <c r="K78">
        <v>0</v>
      </c>
      <c r="L78">
        <v>0</v>
      </c>
      <c r="Q78">
        <v>32</v>
      </c>
      <c r="T78">
        <v>24</v>
      </c>
      <c r="U78" s="1"/>
    </row>
    <row r="79" spans="1:21" x14ac:dyDescent="0.3">
      <c r="A79" t="s">
        <v>243</v>
      </c>
      <c r="B79" t="s">
        <v>28</v>
      </c>
      <c r="C79" t="s">
        <v>22</v>
      </c>
      <c r="D79" t="s">
        <v>244</v>
      </c>
      <c r="E79" t="s">
        <v>245</v>
      </c>
      <c r="F79" t="s">
        <v>246</v>
      </c>
      <c r="G79" t="s">
        <v>247</v>
      </c>
      <c r="H79">
        <v>0</v>
      </c>
      <c r="I79">
        <v>0</v>
      </c>
      <c r="J79">
        <v>0</v>
      </c>
      <c r="K79">
        <v>0</v>
      </c>
      <c r="L79">
        <v>0</v>
      </c>
      <c r="Q79">
        <v>5</v>
      </c>
      <c r="T79">
        <v>13</v>
      </c>
      <c r="U79" s="1"/>
    </row>
    <row r="80" spans="1:21" x14ac:dyDescent="0.3">
      <c r="A80" s="41" t="s">
        <v>248</v>
      </c>
      <c r="B80" t="s">
        <v>21</v>
      </c>
      <c r="C80" t="s">
        <v>22</v>
      </c>
      <c r="D80" t="s">
        <v>249</v>
      </c>
      <c r="E80" t="s">
        <v>250</v>
      </c>
      <c r="F80" t="s">
        <v>251</v>
      </c>
      <c r="G80" t="s">
        <v>252</v>
      </c>
      <c r="H80">
        <v>40</v>
      </c>
      <c r="I80">
        <v>10</v>
      </c>
      <c r="J80">
        <v>1</v>
      </c>
      <c r="K80">
        <v>0</v>
      </c>
      <c r="L80">
        <v>1</v>
      </c>
      <c r="Q80">
        <v>28</v>
      </c>
      <c r="T80">
        <v>20</v>
      </c>
      <c r="U80" s="1"/>
    </row>
    <row r="81" spans="1:21" x14ac:dyDescent="0.3">
      <c r="A81" s="41" t="s">
        <v>248</v>
      </c>
      <c r="B81" t="s">
        <v>21</v>
      </c>
      <c r="C81" t="s">
        <v>22</v>
      </c>
      <c r="D81" t="s">
        <v>249</v>
      </c>
      <c r="E81" t="s">
        <v>250</v>
      </c>
      <c r="F81" t="s">
        <v>251</v>
      </c>
      <c r="G81" t="s">
        <v>253</v>
      </c>
      <c r="H81">
        <v>100</v>
      </c>
      <c r="I81">
        <v>35</v>
      </c>
      <c r="J81">
        <v>15</v>
      </c>
      <c r="K81">
        <v>0</v>
      </c>
      <c r="L81">
        <v>4</v>
      </c>
      <c r="Q81">
        <v>19</v>
      </c>
      <c r="T81">
        <v>7</v>
      </c>
      <c r="U81" s="1"/>
    </row>
    <row r="82" spans="1:21" x14ac:dyDescent="0.3">
      <c r="A82" s="41" t="s">
        <v>248</v>
      </c>
      <c r="B82" t="s">
        <v>21</v>
      </c>
      <c r="C82" t="s">
        <v>22</v>
      </c>
      <c r="D82" t="s">
        <v>249</v>
      </c>
      <c r="E82" t="s">
        <v>250</v>
      </c>
      <c r="F82" t="s">
        <v>251</v>
      </c>
      <c r="G82" t="s">
        <v>254</v>
      </c>
      <c r="H82">
        <v>55</v>
      </c>
      <c r="I82">
        <v>20</v>
      </c>
      <c r="J82">
        <v>10</v>
      </c>
      <c r="K82">
        <v>0</v>
      </c>
      <c r="L82">
        <v>3</v>
      </c>
      <c r="Q82">
        <v>24</v>
      </c>
      <c r="T82">
        <v>14</v>
      </c>
      <c r="U82" s="1"/>
    </row>
    <row r="83" spans="1:21" x14ac:dyDescent="0.3">
      <c r="A83" t="s">
        <v>255</v>
      </c>
      <c r="B83" t="s">
        <v>21</v>
      </c>
      <c r="C83" t="s">
        <v>22</v>
      </c>
      <c r="D83" t="s">
        <v>256</v>
      </c>
      <c r="E83" t="s">
        <v>257</v>
      </c>
      <c r="F83" t="s">
        <v>92</v>
      </c>
      <c r="G83" t="s">
        <v>258</v>
      </c>
      <c r="H83">
        <v>0</v>
      </c>
      <c r="I83">
        <v>0</v>
      </c>
      <c r="J83">
        <v>0</v>
      </c>
      <c r="K83">
        <v>0</v>
      </c>
      <c r="L83">
        <v>0</v>
      </c>
      <c r="Q83">
        <v>6</v>
      </c>
      <c r="T83">
        <v>13</v>
      </c>
      <c r="U83" s="1"/>
    </row>
    <row r="84" spans="1:21" x14ac:dyDescent="0.3">
      <c r="A84" s="2" t="s">
        <v>259</v>
      </c>
      <c r="B84" t="s">
        <v>21</v>
      </c>
      <c r="C84" t="s">
        <v>22</v>
      </c>
      <c r="D84" t="s">
        <v>260</v>
      </c>
      <c r="E84" t="s">
        <v>261</v>
      </c>
      <c r="F84" t="s">
        <v>211</v>
      </c>
      <c r="G84" t="s">
        <v>262</v>
      </c>
      <c r="H84">
        <v>0</v>
      </c>
      <c r="I84">
        <v>0</v>
      </c>
      <c r="J84">
        <v>0</v>
      </c>
      <c r="K84">
        <v>0</v>
      </c>
      <c r="L84">
        <v>0</v>
      </c>
      <c r="Q84">
        <v>24</v>
      </c>
      <c r="T84">
        <v>12</v>
      </c>
      <c r="U84" s="1"/>
    </row>
    <row r="85" spans="1:21" x14ac:dyDescent="0.3">
      <c r="A85" s="41" t="s">
        <v>263</v>
      </c>
      <c r="B85" t="s">
        <v>21</v>
      </c>
      <c r="C85" t="s">
        <v>22</v>
      </c>
      <c r="D85" s="18" t="s">
        <v>264</v>
      </c>
      <c r="E85" t="s">
        <v>265</v>
      </c>
      <c r="F85" t="s">
        <v>266</v>
      </c>
      <c r="G85" t="s">
        <v>163</v>
      </c>
      <c r="H85">
        <v>19</v>
      </c>
      <c r="I85">
        <v>0</v>
      </c>
      <c r="J85">
        <v>0</v>
      </c>
      <c r="K85">
        <v>0</v>
      </c>
      <c r="L85">
        <v>0</v>
      </c>
      <c r="Q85">
        <v>9</v>
      </c>
      <c r="T85">
        <v>14</v>
      </c>
    </row>
    <row r="86" spans="1:21" x14ac:dyDescent="0.3">
      <c r="A86" t="s">
        <v>263</v>
      </c>
      <c r="B86" t="s">
        <v>21</v>
      </c>
      <c r="C86" t="s">
        <v>22</v>
      </c>
      <c r="D86" s="18" t="s">
        <v>264</v>
      </c>
      <c r="E86" t="s">
        <v>265</v>
      </c>
      <c r="F86" t="s">
        <v>266</v>
      </c>
      <c r="G86" t="s">
        <v>268</v>
      </c>
      <c r="H86">
        <v>0</v>
      </c>
      <c r="I86">
        <v>0</v>
      </c>
      <c r="J86">
        <v>0</v>
      </c>
      <c r="K86">
        <v>0</v>
      </c>
      <c r="L86">
        <v>0</v>
      </c>
      <c r="P86">
        <v>9</v>
      </c>
    </row>
    <row r="87" spans="1:21" x14ac:dyDescent="0.3">
      <c r="A87" t="s">
        <v>263</v>
      </c>
      <c r="B87" t="s">
        <v>21</v>
      </c>
      <c r="C87" t="s">
        <v>22</v>
      </c>
      <c r="D87" s="18" t="s">
        <v>264</v>
      </c>
      <c r="E87" t="s">
        <v>265</v>
      </c>
      <c r="F87" t="s">
        <v>266</v>
      </c>
      <c r="G87" t="s">
        <v>269</v>
      </c>
      <c r="H87">
        <v>0</v>
      </c>
      <c r="I87">
        <v>0</v>
      </c>
      <c r="J87">
        <v>0</v>
      </c>
      <c r="K87">
        <v>0</v>
      </c>
      <c r="L87">
        <v>0</v>
      </c>
      <c r="P87">
        <v>9</v>
      </c>
    </row>
    <row r="88" spans="1:21" x14ac:dyDescent="0.3">
      <c r="A88" t="s">
        <v>263</v>
      </c>
      <c r="B88" t="s">
        <v>21</v>
      </c>
      <c r="C88" t="s">
        <v>22</v>
      </c>
      <c r="D88" s="18" t="s">
        <v>264</v>
      </c>
      <c r="E88" t="s">
        <v>265</v>
      </c>
      <c r="F88" t="s">
        <v>25</v>
      </c>
      <c r="G88" t="s">
        <v>270</v>
      </c>
      <c r="H88">
        <v>0</v>
      </c>
      <c r="I88">
        <v>0</v>
      </c>
      <c r="J88">
        <v>0</v>
      </c>
      <c r="K88">
        <v>0</v>
      </c>
      <c r="L88">
        <v>0</v>
      </c>
      <c r="P88">
        <v>9</v>
      </c>
    </row>
    <row r="89" spans="1:21" x14ac:dyDescent="0.3">
      <c r="A89" t="s">
        <v>271</v>
      </c>
      <c r="B89" t="s">
        <v>53</v>
      </c>
      <c r="C89" t="s">
        <v>29</v>
      </c>
      <c r="D89" s="18" t="s">
        <v>272</v>
      </c>
      <c r="E89" s="10" t="s">
        <v>273</v>
      </c>
      <c r="F89" t="s">
        <v>56</v>
      </c>
      <c r="G89" t="s">
        <v>274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21" x14ac:dyDescent="0.3">
      <c r="A90" t="s">
        <v>275</v>
      </c>
      <c r="B90" t="s">
        <v>28</v>
      </c>
      <c r="C90" t="s">
        <v>22</v>
      </c>
      <c r="D90" t="s">
        <v>276</v>
      </c>
      <c r="E90" t="s">
        <v>277</v>
      </c>
      <c r="F90" t="s">
        <v>38</v>
      </c>
      <c r="G90" t="s">
        <v>278</v>
      </c>
      <c r="H90">
        <v>0</v>
      </c>
      <c r="I90">
        <v>0</v>
      </c>
      <c r="J90">
        <v>0</v>
      </c>
      <c r="K90">
        <v>0</v>
      </c>
      <c r="L90">
        <v>0</v>
      </c>
      <c r="Q90">
        <v>21</v>
      </c>
      <c r="T90">
        <v>16</v>
      </c>
      <c r="U90" s="1"/>
    </row>
    <row r="91" spans="1:21" x14ac:dyDescent="0.3">
      <c r="A91" t="s">
        <v>275</v>
      </c>
      <c r="B91" t="s">
        <v>21</v>
      </c>
      <c r="C91" t="s">
        <v>22</v>
      </c>
      <c r="D91" t="s">
        <v>276</v>
      </c>
      <c r="E91" t="s">
        <v>277</v>
      </c>
      <c r="F91" t="s">
        <v>279</v>
      </c>
      <c r="G91" t="s">
        <v>280</v>
      </c>
      <c r="H91">
        <v>0</v>
      </c>
      <c r="I91">
        <v>0</v>
      </c>
      <c r="J91">
        <v>0</v>
      </c>
      <c r="K91">
        <v>0</v>
      </c>
      <c r="L91">
        <v>0</v>
      </c>
      <c r="O91">
        <v>5</v>
      </c>
      <c r="Q91">
        <v>21</v>
      </c>
      <c r="T91">
        <v>16</v>
      </c>
      <c r="U91" s="1"/>
    </row>
    <row r="92" spans="1:21" x14ac:dyDescent="0.3">
      <c r="A92" t="s">
        <v>275</v>
      </c>
      <c r="B92" t="s">
        <v>21</v>
      </c>
      <c r="C92" t="s">
        <v>22</v>
      </c>
      <c r="D92" t="s">
        <v>276</v>
      </c>
      <c r="E92" t="s">
        <v>277</v>
      </c>
      <c r="F92" t="s">
        <v>279</v>
      </c>
      <c r="G92" t="s">
        <v>281</v>
      </c>
      <c r="H92">
        <v>0</v>
      </c>
      <c r="I92">
        <v>0</v>
      </c>
      <c r="J92">
        <v>0</v>
      </c>
      <c r="K92">
        <v>0</v>
      </c>
      <c r="L92">
        <v>0</v>
      </c>
      <c r="O92">
        <v>5</v>
      </c>
      <c r="Q92">
        <v>21</v>
      </c>
      <c r="T92">
        <v>16</v>
      </c>
      <c r="U92" s="1"/>
    </row>
    <row r="93" spans="1:21" x14ac:dyDescent="0.3">
      <c r="A93" t="s">
        <v>275</v>
      </c>
      <c r="B93" t="s">
        <v>21</v>
      </c>
      <c r="C93" t="s">
        <v>22</v>
      </c>
      <c r="D93" t="s">
        <v>276</v>
      </c>
      <c r="E93" t="s">
        <v>277</v>
      </c>
      <c r="F93" t="s">
        <v>279</v>
      </c>
      <c r="G93" t="s">
        <v>282</v>
      </c>
      <c r="H93">
        <v>0</v>
      </c>
      <c r="I93">
        <v>0</v>
      </c>
      <c r="J93">
        <v>0</v>
      </c>
      <c r="K93">
        <v>0</v>
      </c>
      <c r="L93">
        <v>0</v>
      </c>
      <c r="O93">
        <v>5</v>
      </c>
      <c r="P93">
        <v>10</v>
      </c>
      <c r="Q93">
        <v>3</v>
      </c>
      <c r="T93">
        <v>11</v>
      </c>
      <c r="U93" s="1"/>
    </row>
    <row r="94" spans="1:21" x14ac:dyDescent="0.3">
      <c r="A94" t="s">
        <v>283</v>
      </c>
      <c r="B94" t="s">
        <v>28</v>
      </c>
      <c r="C94" t="s">
        <v>22</v>
      </c>
      <c r="D94" s="18" t="s">
        <v>284</v>
      </c>
      <c r="E94" s="10" t="s">
        <v>285</v>
      </c>
      <c r="F94" t="s">
        <v>32</v>
      </c>
      <c r="G94" t="s">
        <v>286</v>
      </c>
      <c r="H94">
        <v>0</v>
      </c>
      <c r="I94">
        <v>0</v>
      </c>
      <c r="J94">
        <v>0</v>
      </c>
      <c r="K94">
        <v>0</v>
      </c>
      <c r="L94">
        <v>0</v>
      </c>
      <c r="O94">
        <v>12</v>
      </c>
    </row>
    <row r="95" spans="1:21" x14ac:dyDescent="0.3">
      <c r="A95" t="s">
        <v>287</v>
      </c>
      <c r="B95" t="s">
        <v>21</v>
      </c>
      <c r="C95" t="s">
        <v>29</v>
      </c>
      <c r="D95" s="18" t="s">
        <v>288</v>
      </c>
      <c r="E95" s="10" t="s">
        <v>289</v>
      </c>
      <c r="F95" t="s">
        <v>25</v>
      </c>
      <c r="G95" t="s">
        <v>290</v>
      </c>
      <c r="H95">
        <v>0</v>
      </c>
      <c r="I95">
        <v>0</v>
      </c>
      <c r="J95">
        <v>0</v>
      </c>
      <c r="K95">
        <v>0</v>
      </c>
      <c r="L95">
        <v>0</v>
      </c>
      <c r="O95">
        <v>7</v>
      </c>
    </row>
    <row r="96" spans="1:21" x14ac:dyDescent="0.3">
      <c r="A96" t="s">
        <v>291</v>
      </c>
      <c r="B96" t="s">
        <v>21</v>
      </c>
      <c r="C96" t="s">
        <v>22</v>
      </c>
      <c r="D96" s="18" t="s">
        <v>292</v>
      </c>
      <c r="E96" s="10" t="s">
        <v>293</v>
      </c>
      <c r="F96" t="s">
        <v>25</v>
      </c>
      <c r="G96" t="s">
        <v>294</v>
      </c>
      <c r="H96">
        <v>0</v>
      </c>
      <c r="I96">
        <v>0</v>
      </c>
      <c r="J96">
        <v>0</v>
      </c>
      <c r="K96">
        <v>0</v>
      </c>
      <c r="L96">
        <v>0</v>
      </c>
      <c r="U96" s="1"/>
    </row>
    <row r="97" spans="1:21" x14ac:dyDescent="0.3">
      <c r="A97" t="s">
        <v>295</v>
      </c>
      <c r="B97" t="s">
        <v>28</v>
      </c>
      <c r="C97" t="s">
        <v>29</v>
      </c>
      <c r="D97" s="18" t="s">
        <v>296</v>
      </c>
      <c r="E97" s="10" t="s">
        <v>297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21" x14ac:dyDescent="0.3">
      <c r="A98" t="s">
        <v>298</v>
      </c>
      <c r="B98" t="s">
        <v>21</v>
      </c>
      <c r="C98" t="s">
        <v>22</v>
      </c>
      <c r="D98" t="s">
        <v>299</v>
      </c>
      <c r="E98" t="s">
        <v>300</v>
      </c>
      <c r="F98" t="s">
        <v>301</v>
      </c>
      <c r="G98" t="s">
        <v>302</v>
      </c>
      <c r="H98">
        <v>0</v>
      </c>
      <c r="I98">
        <v>0</v>
      </c>
      <c r="J98">
        <v>0</v>
      </c>
      <c r="K98">
        <v>0</v>
      </c>
      <c r="L98">
        <v>0</v>
      </c>
      <c r="O98">
        <v>5</v>
      </c>
      <c r="Q98">
        <v>7.5</v>
      </c>
      <c r="R98">
        <v>4.5</v>
      </c>
      <c r="S98">
        <v>7</v>
      </c>
      <c r="T98">
        <v>2</v>
      </c>
      <c r="U98" s="1"/>
    </row>
    <row r="99" spans="1:21" x14ac:dyDescent="0.3">
      <c r="A99" s="41" t="s">
        <v>303</v>
      </c>
      <c r="B99" t="s">
        <v>21</v>
      </c>
      <c r="C99" t="s">
        <v>29</v>
      </c>
      <c r="D99" t="s">
        <v>304</v>
      </c>
      <c r="E99" t="s">
        <v>305</v>
      </c>
      <c r="F99" t="s">
        <v>306</v>
      </c>
      <c r="G99" t="s">
        <v>307</v>
      </c>
      <c r="H99">
        <v>50</v>
      </c>
      <c r="I99">
        <v>20</v>
      </c>
      <c r="J99">
        <v>10</v>
      </c>
      <c r="K99">
        <v>0</v>
      </c>
      <c r="L99">
        <v>0</v>
      </c>
      <c r="Q99">
        <v>21</v>
      </c>
      <c r="T99">
        <v>9</v>
      </c>
      <c r="U99" s="1"/>
    </row>
    <row r="100" spans="1:21" x14ac:dyDescent="0.3">
      <c r="A100" t="s">
        <v>308</v>
      </c>
      <c r="B100" t="s">
        <v>28</v>
      </c>
      <c r="C100" t="s">
        <v>22</v>
      </c>
      <c r="D100" s="18" t="s">
        <v>309</v>
      </c>
      <c r="E100" s="10" t="s">
        <v>310</v>
      </c>
      <c r="F100" t="s">
        <v>92</v>
      </c>
      <c r="G100" t="s">
        <v>311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21" x14ac:dyDescent="0.3">
      <c r="A101" s="41" t="s">
        <v>312</v>
      </c>
      <c r="B101" t="s">
        <v>21</v>
      </c>
      <c r="C101" t="s">
        <v>22</v>
      </c>
      <c r="D101" t="s">
        <v>313</v>
      </c>
      <c r="E101" t="s">
        <v>314</v>
      </c>
      <c r="F101" t="s">
        <v>315</v>
      </c>
      <c r="G101" t="s">
        <v>316</v>
      </c>
      <c r="H101">
        <v>30</v>
      </c>
      <c r="I101">
        <v>12</v>
      </c>
      <c r="J101">
        <v>6</v>
      </c>
      <c r="K101">
        <v>0</v>
      </c>
      <c r="L101">
        <v>0</v>
      </c>
      <c r="Q101" s="1">
        <v>12</v>
      </c>
      <c r="R101" s="1"/>
      <c r="S101" s="1"/>
      <c r="T101" s="1">
        <v>12</v>
      </c>
      <c r="U101" s="1"/>
    </row>
    <row r="102" spans="1:21" x14ac:dyDescent="0.3">
      <c r="A102" s="41" t="s">
        <v>317</v>
      </c>
      <c r="B102" t="s">
        <v>21</v>
      </c>
      <c r="C102" t="s">
        <v>22</v>
      </c>
      <c r="D102" t="s">
        <v>318</v>
      </c>
      <c r="E102" t="s">
        <v>319</v>
      </c>
      <c r="F102" t="s">
        <v>320</v>
      </c>
      <c r="G102" t="s">
        <v>699</v>
      </c>
      <c r="H102">
        <v>70</v>
      </c>
      <c r="I102">
        <v>36</v>
      </c>
      <c r="J102">
        <v>17</v>
      </c>
      <c r="K102">
        <v>0</v>
      </c>
      <c r="L102">
        <v>6</v>
      </c>
      <c r="Q102">
        <v>21</v>
      </c>
      <c r="T102">
        <v>9</v>
      </c>
      <c r="U102" s="1"/>
    </row>
    <row r="103" spans="1:21" x14ac:dyDescent="0.3">
      <c r="A103" t="s">
        <v>317</v>
      </c>
      <c r="B103" t="s">
        <v>21</v>
      </c>
      <c r="C103" t="s">
        <v>22</v>
      </c>
      <c r="D103" t="s">
        <v>318</v>
      </c>
      <c r="E103" t="s">
        <v>319</v>
      </c>
      <c r="F103" t="s">
        <v>320</v>
      </c>
      <c r="G103" t="s">
        <v>242</v>
      </c>
      <c r="H103">
        <v>0</v>
      </c>
      <c r="I103">
        <v>0</v>
      </c>
      <c r="J103">
        <v>0</v>
      </c>
      <c r="K103">
        <v>0</v>
      </c>
      <c r="L103">
        <v>0</v>
      </c>
      <c r="Q103">
        <v>33</v>
      </c>
      <c r="T103">
        <v>25</v>
      </c>
      <c r="U103" s="1"/>
    </row>
    <row r="104" spans="1:21" x14ac:dyDescent="0.3">
      <c r="A104" t="s">
        <v>322</v>
      </c>
      <c r="B104" t="s">
        <v>21</v>
      </c>
      <c r="D104" s="10" t="s">
        <v>323</v>
      </c>
      <c r="E104" s="10" t="s">
        <v>324</v>
      </c>
      <c r="F104" t="s">
        <v>32</v>
      </c>
      <c r="G104" t="s">
        <v>226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21" x14ac:dyDescent="0.3">
      <c r="A105" t="s">
        <v>322</v>
      </c>
      <c r="B105" t="s">
        <v>21</v>
      </c>
      <c r="D105" s="10" t="s">
        <v>323</v>
      </c>
      <c r="E105" s="10" t="s">
        <v>324</v>
      </c>
      <c r="F105" t="s">
        <v>32</v>
      </c>
      <c r="G105" t="s">
        <v>86</v>
      </c>
      <c r="H105">
        <v>0</v>
      </c>
      <c r="I105">
        <v>0</v>
      </c>
      <c r="J105">
        <v>0</v>
      </c>
      <c r="K105">
        <v>0</v>
      </c>
      <c r="L105">
        <v>0</v>
      </c>
      <c r="Q105">
        <v>23</v>
      </c>
      <c r="R105">
        <v>16</v>
      </c>
      <c r="S105">
        <v>22.5</v>
      </c>
      <c r="T105">
        <v>17.5</v>
      </c>
    </row>
    <row r="106" spans="1:21" x14ac:dyDescent="0.3">
      <c r="A106" t="s">
        <v>325</v>
      </c>
      <c r="B106" t="s">
        <v>21</v>
      </c>
      <c r="C106" t="s">
        <v>29</v>
      </c>
      <c r="D106" s="43" t="s">
        <v>326</v>
      </c>
      <c r="E106" t="s">
        <v>327</v>
      </c>
      <c r="F106" t="s">
        <v>328</v>
      </c>
      <c r="G106" t="s">
        <v>329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21" x14ac:dyDescent="0.3">
      <c r="A107" t="s">
        <v>330</v>
      </c>
      <c r="B107" t="s">
        <v>53</v>
      </c>
      <c r="C107" t="s">
        <v>29</v>
      </c>
      <c r="D107" t="s">
        <v>331</v>
      </c>
      <c r="E107" t="s">
        <v>332</v>
      </c>
      <c r="F107" t="s">
        <v>56</v>
      </c>
      <c r="G107" t="s">
        <v>262</v>
      </c>
      <c r="H107">
        <v>0</v>
      </c>
      <c r="I107">
        <v>0</v>
      </c>
      <c r="J107">
        <v>0</v>
      </c>
      <c r="K107">
        <v>0</v>
      </c>
      <c r="L107">
        <v>0</v>
      </c>
      <c r="Q107">
        <v>5.5</v>
      </c>
      <c r="R107">
        <v>9</v>
      </c>
      <c r="S107">
        <v>1</v>
      </c>
      <c r="T107">
        <v>6</v>
      </c>
    </row>
    <row r="108" spans="1:21" x14ac:dyDescent="0.3">
      <c r="A108" t="s">
        <v>330</v>
      </c>
      <c r="B108" t="s">
        <v>53</v>
      </c>
      <c r="C108" t="s">
        <v>29</v>
      </c>
      <c r="D108" t="s">
        <v>331</v>
      </c>
      <c r="E108" t="s">
        <v>332</v>
      </c>
      <c r="F108" t="s">
        <v>56</v>
      </c>
      <c r="G108" t="s">
        <v>333</v>
      </c>
      <c r="H108">
        <v>0</v>
      </c>
      <c r="I108">
        <v>0</v>
      </c>
      <c r="J108">
        <v>0</v>
      </c>
      <c r="K108">
        <v>0</v>
      </c>
      <c r="L108">
        <v>0</v>
      </c>
      <c r="Q108">
        <v>5.5</v>
      </c>
      <c r="R108">
        <v>9</v>
      </c>
      <c r="S108">
        <v>1</v>
      </c>
      <c r="T108">
        <v>6</v>
      </c>
    </row>
    <row r="109" spans="1:21" x14ac:dyDescent="0.3">
      <c r="A109" t="s">
        <v>330</v>
      </c>
      <c r="B109" t="s">
        <v>53</v>
      </c>
      <c r="C109" t="s">
        <v>29</v>
      </c>
      <c r="D109" t="s">
        <v>331</v>
      </c>
      <c r="E109" t="s">
        <v>332</v>
      </c>
      <c r="F109" t="s">
        <v>56</v>
      </c>
      <c r="G109" t="s">
        <v>334</v>
      </c>
      <c r="H109">
        <v>0</v>
      </c>
      <c r="I109">
        <v>0</v>
      </c>
      <c r="J109">
        <v>0</v>
      </c>
      <c r="K109">
        <v>0</v>
      </c>
      <c r="L109">
        <v>0</v>
      </c>
      <c r="Q109">
        <v>5.5</v>
      </c>
      <c r="R109">
        <v>9</v>
      </c>
      <c r="S109">
        <v>1</v>
      </c>
      <c r="T109">
        <v>6</v>
      </c>
    </row>
    <row r="110" spans="1:21" x14ac:dyDescent="0.3">
      <c r="A110" t="s">
        <v>330</v>
      </c>
      <c r="B110" t="s">
        <v>53</v>
      </c>
      <c r="C110" t="s">
        <v>29</v>
      </c>
      <c r="D110" t="s">
        <v>331</v>
      </c>
      <c r="E110" t="s">
        <v>332</v>
      </c>
      <c r="F110" t="s">
        <v>56</v>
      </c>
      <c r="G110" t="s">
        <v>335</v>
      </c>
      <c r="H110">
        <v>0</v>
      </c>
      <c r="I110">
        <v>0</v>
      </c>
      <c r="J110">
        <v>0</v>
      </c>
      <c r="K110">
        <v>0</v>
      </c>
      <c r="L110">
        <v>0</v>
      </c>
      <c r="Q110">
        <v>7.5</v>
      </c>
      <c r="R110">
        <v>2</v>
      </c>
      <c r="S110">
        <v>9.5</v>
      </c>
      <c r="T110">
        <v>3</v>
      </c>
      <c r="U110" s="1"/>
    </row>
    <row r="111" spans="1:21" x14ac:dyDescent="0.3">
      <c r="A111" t="s">
        <v>330</v>
      </c>
      <c r="B111" t="s">
        <v>53</v>
      </c>
      <c r="C111" t="s">
        <v>29</v>
      </c>
      <c r="D111" t="s">
        <v>331</v>
      </c>
      <c r="E111" t="s">
        <v>332</v>
      </c>
      <c r="F111" t="s">
        <v>56</v>
      </c>
      <c r="G111" t="s">
        <v>268</v>
      </c>
      <c r="H111">
        <v>0</v>
      </c>
      <c r="I111">
        <v>0</v>
      </c>
      <c r="J111">
        <v>0</v>
      </c>
      <c r="K111">
        <v>0</v>
      </c>
      <c r="L111">
        <v>0</v>
      </c>
      <c r="Q111">
        <v>7.5</v>
      </c>
      <c r="R111">
        <v>4</v>
      </c>
      <c r="S111">
        <v>9.5</v>
      </c>
      <c r="T111">
        <v>3</v>
      </c>
      <c r="U111" s="1"/>
    </row>
    <row r="112" spans="1:21" x14ac:dyDescent="0.3">
      <c r="A112" t="s">
        <v>330</v>
      </c>
      <c r="B112" t="s">
        <v>53</v>
      </c>
      <c r="C112" t="s">
        <v>29</v>
      </c>
      <c r="D112" t="s">
        <v>331</v>
      </c>
      <c r="E112" t="s">
        <v>332</v>
      </c>
      <c r="F112" t="s">
        <v>56</v>
      </c>
      <c r="G112" t="s">
        <v>336</v>
      </c>
      <c r="H112">
        <v>0</v>
      </c>
      <c r="I112">
        <v>0</v>
      </c>
      <c r="J112">
        <v>0</v>
      </c>
      <c r="K112">
        <v>0</v>
      </c>
      <c r="L112">
        <v>0</v>
      </c>
      <c r="Q112">
        <v>7.5</v>
      </c>
      <c r="R112">
        <v>4</v>
      </c>
      <c r="S112">
        <v>9.5</v>
      </c>
      <c r="T112">
        <v>3</v>
      </c>
      <c r="U112" s="1"/>
    </row>
    <row r="113" spans="1:21" x14ac:dyDescent="0.3">
      <c r="A113" t="s">
        <v>337</v>
      </c>
      <c r="B113" t="s">
        <v>21</v>
      </c>
      <c r="C113" t="s">
        <v>22</v>
      </c>
      <c r="D113" s="18" t="s">
        <v>338</v>
      </c>
      <c r="E113" s="10">
        <v>7316085780</v>
      </c>
      <c r="F113" t="s">
        <v>211</v>
      </c>
      <c r="G113" t="s">
        <v>339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21" x14ac:dyDescent="0.3">
      <c r="A114" t="s">
        <v>340</v>
      </c>
      <c r="B114" t="s">
        <v>21</v>
      </c>
      <c r="C114" t="s">
        <v>29</v>
      </c>
      <c r="D114" s="18" t="s">
        <v>341</v>
      </c>
      <c r="E114" s="10"/>
      <c r="F114" t="s">
        <v>25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21" x14ac:dyDescent="0.3">
      <c r="A115" t="s">
        <v>342</v>
      </c>
      <c r="B115" t="s">
        <v>53</v>
      </c>
      <c r="C115" t="s">
        <v>29</v>
      </c>
      <c r="D115" s="18" t="s">
        <v>343</v>
      </c>
      <c r="E115" s="10" t="s">
        <v>344</v>
      </c>
      <c r="F115" t="s">
        <v>56</v>
      </c>
      <c r="G115" t="s">
        <v>321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21" x14ac:dyDescent="0.3">
      <c r="A116" t="s">
        <v>345</v>
      </c>
      <c r="B116" t="s">
        <v>53</v>
      </c>
      <c r="C116" t="s">
        <v>22</v>
      </c>
      <c r="D116" t="s">
        <v>346</v>
      </c>
      <c r="E116" t="s">
        <v>347</v>
      </c>
      <c r="F116" t="s">
        <v>56</v>
      </c>
      <c r="G116" t="s">
        <v>348</v>
      </c>
      <c r="H116">
        <v>0</v>
      </c>
      <c r="I116">
        <v>0</v>
      </c>
      <c r="J116">
        <v>0</v>
      </c>
      <c r="K116">
        <v>0</v>
      </c>
      <c r="L116">
        <v>0</v>
      </c>
      <c r="Q116">
        <v>7</v>
      </c>
      <c r="R116">
        <v>3.5</v>
      </c>
      <c r="S116">
        <v>6.5</v>
      </c>
      <c r="T116">
        <v>1</v>
      </c>
      <c r="U116" s="1"/>
    </row>
    <row r="117" spans="1:21" x14ac:dyDescent="0.3">
      <c r="A117" s="41" t="s">
        <v>349</v>
      </c>
      <c r="B117" t="s">
        <v>21</v>
      </c>
      <c r="C117" t="s">
        <v>29</v>
      </c>
      <c r="D117" t="s">
        <v>350</v>
      </c>
      <c r="E117" t="s">
        <v>351</v>
      </c>
      <c r="F117" t="s">
        <v>92</v>
      </c>
      <c r="G117" t="s">
        <v>352</v>
      </c>
      <c r="H117">
        <v>20</v>
      </c>
      <c r="I117">
        <v>8</v>
      </c>
      <c r="J117">
        <v>4</v>
      </c>
      <c r="K117">
        <v>0</v>
      </c>
      <c r="L117">
        <v>1</v>
      </c>
      <c r="Q117">
        <v>19</v>
      </c>
      <c r="T117">
        <v>7</v>
      </c>
      <c r="U117" s="1"/>
    </row>
    <row r="118" spans="1:21" x14ac:dyDescent="0.3">
      <c r="A118" s="41" t="s">
        <v>349</v>
      </c>
      <c r="B118" t="s">
        <v>21</v>
      </c>
      <c r="C118" t="s">
        <v>29</v>
      </c>
      <c r="D118" t="s">
        <v>350</v>
      </c>
      <c r="E118" t="s">
        <v>351</v>
      </c>
      <c r="F118" t="s">
        <v>92</v>
      </c>
      <c r="G118" t="s">
        <v>254</v>
      </c>
      <c r="H118">
        <v>20</v>
      </c>
      <c r="I118">
        <v>8</v>
      </c>
      <c r="J118">
        <v>4</v>
      </c>
      <c r="K118">
        <v>0</v>
      </c>
      <c r="L118">
        <v>1</v>
      </c>
      <c r="Q118">
        <v>24</v>
      </c>
      <c r="T118">
        <v>14</v>
      </c>
      <c r="U118" s="1"/>
    </row>
    <row r="119" spans="1:21" x14ac:dyDescent="0.3">
      <c r="A119" t="s">
        <v>349</v>
      </c>
      <c r="B119" t="s">
        <v>21</v>
      </c>
      <c r="C119" t="s">
        <v>29</v>
      </c>
      <c r="D119" t="s">
        <v>350</v>
      </c>
      <c r="E119" t="s">
        <v>351</v>
      </c>
      <c r="F119" t="s">
        <v>92</v>
      </c>
      <c r="G119" t="s">
        <v>353</v>
      </c>
      <c r="H119">
        <v>0</v>
      </c>
      <c r="I119">
        <v>0</v>
      </c>
      <c r="J119">
        <v>0</v>
      </c>
      <c r="K119">
        <v>0</v>
      </c>
      <c r="L119">
        <v>0</v>
      </c>
      <c r="Q119">
        <v>21</v>
      </c>
      <c r="T119">
        <v>16</v>
      </c>
      <c r="U119" s="1"/>
    </row>
    <row r="120" spans="1:21" x14ac:dyDescent="0.3">
      <c r="A120" t="s">
        <v>349</v>
      </c>
      <c r="B120" t="s">
        <v>21</v>
      </c>
      <c r="C120" t="s">
        <v>29</v>
      </c>
      <c r="D120" t="s">
        <v>350</v>
      </c>
      <c r="E120" t="s">
        <v>351</v>
      </c>
      <c r="F120" t="s">
        <v>92</v>
      </c>
      <c r="G120" t="s">
        <v>354</v>
      </c>
      <c r="H120">
        <v>0</v>
      </c>
      <c r="I120">
        <v>0</v>
      </c>
      <c r="J120">
        <v>0</v>
      </c>
      <c r="K120">
        <v>0</v>
      </c>
      <c r="L120">
        <v>0</v>
      </c>
      <c r="Q120">
        <v>29</v>
      </c>
      <c r="T120">
        <v>20</v>
      </c>
      <c r="U120" s="1"/>
    </row>
    <row r="121" spans="1:21" x14ac:dyDescent="0.3">
      <c r="A121" t="s">
        <v>349</v>
      </c>
      <c r="B121" t="s">
        <v>21</v>
      </c>
      <c r="C121" t="s">
        <v>29</v>
      </c>
      <c r="D121" t="s">
        <v>350</v>
      </c>
      <c r="E121" t="s">
        <v>351</v>
      </c>
      <c r="F121" t="s">
        <v>92</v>
      </c>
      <c r="G121" t="s">
        <v>86</v>
      </c>
      <c r="H121">
        <v>0</v>
      </c>
      <c r="I121">
        <v>0</v>
      </c>
      <c r="J121">
        <v>0</v>
      </c>
      <c r="K121">
        <v>0</v>
      </c>
      <c r="L121">
        <v>0</v>
      </c>
      <c r="Q121">
        <v>33</v>
      </c>
      <c r="T121">
        <v>24</v>
      </c>
      <c r="U121" s="1"/>
    </row>
    <row r="122" spans="1:21" x14ac:dyDescent="0.3">
      <c r="A122" t="s">
        <v>355</v>
      </c>
      <c r="B122" t="s">
        <v>53</v>
      </c>
      <c r="C122" t="s">
        <v>29</v>
      </c>
      <c r="D122" t="s">
        <v>356</v>
      </c>
      <c r="E122" t="s">
        <v>357</v>
      </c>
      <c r="F122" t="s">
        <v>56</v>
      </c>
      <c r="G122" t="s">
        <v>358</v>
      </c>
      <c r="H122">
        <v>0</v>
      </c>
      <c r="I122">
        <v>0</v>
      </c>
      <c r="J122">
        <v>0</v>
      </c>
      <c r="K122">
        <v>0</v>
      </c>
      <c r="L122">
        <v>0</v>
      </c>
      <c r="Q122">
        <v>6</v>
      </c>
      <c r="T122">
        <v>16</v>
      </c>
      <c r="U122" s="1"/>
    </row>
    <row r="123" spans="1:21" x14ac:dyDescent="0.3">
      <c r="A123" s="41" t="s">
        <v>359</v>
      </c>
      <c r="B123" t="s">
        <v>21</v>
      </c>
      <c r="C123" t="s">
        <v>22</v>
      </c>
      <c r="D123" t="s">
        <v>360</v>
      </c>
      <c r="E123" t="s">
        <v>361</v>
      </c>
      <c r="F123" t="s">
        <v>142</v>
      </c>
      <c r="G123" t="s">
        <v>362</v>
      </c>
      <c r="H123">
        <v>15</v>
      </c>
      <c r="I123">
        <v>4</v>
      </c>
      <c r="J123">
        <v>2</v>
      </c>
      <c r="K123">
        <v>4</v>
      </c>
      <c r="L123">
        <v>1</v>
      </c>
      <c r="Q123">
        <v>9</v>
      </c>
      <c r="T123">
        <v>5</v>
      </c>
      <c r="U123" s="1"/>
    </row>
    <row r="124" spans="1:21" x14ac:dyDescent="0.3">
      <c r="A124" t="s">
        <v>363</v>
      </c>
      <c r="B124" t="s">
        <v>28</v>
      </c>
      <c r="C124" t="s">
        <v>22</v>
      </c>
      <c r="D124" t="s">
        <v>364</v>
      </c>
      <c r="E124" t="s">
        <v>365</v>
      </c>
      <c r="F124" t="s">
        <v>92</v>
      </c>
      <c r="G124" t="s">
        <v>366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8</v>
      </c>
      <c r="Q124">
        <v>6</v>
      </c>
      <c r="T124">
        <v>13</v>
      </c>
      <c r="U124" s="1"/>
    </row>
    <row r="125" spans="1:21" x14ac:dyDescent="0.3">
      <c r="A125" t="s">
        <v>367</v>
      </c>
      <c r="B125" t="s">
        <v>53</v>
      </c>
      <c r="C125" t="s">
        <v>29</v>
      </c>
      <c r="D125" t="s">
        <v>368</v>
      </c>
      <c r="E125" t="s">
        <v>369</v>
      </c>
      <c r="F125" t="s">
        <v>56</v>
      </c>
      <c r="G125" t="s">
        <v>370</v>
      </c>
      <c r="H125">
        <v>0</v>
      </c>
      <c r="I125">
        <v>0</v>
      </c>
      <c r="J125">
        <v>0</v>
      </c>
      <c r="K125">
        <v>0</v>
      </c>
      <c r="L125">
        <v>0</v>
      </c>
      <c r="Q125">
        <v>11</v>
      </c>
      <c r="T125">
        <v>0</v>
      </c>
      <c r="U125" s="1"/>
    </row>
    <row r="126" spans="1:21" x14ac:dyDescent="0.3">
      <c r="A126" s="48" t="s">
        <v>512</v>
      </c>
      <c r="B126" t="s">
        <v>21</v>
      </c>
      <c r="C126" t="s">
        <v>22</v>
      </c>
      <c r="D126" s="18" t="s">
        <v>710</v>
      </c>
      <c r="E126" s="10" t="s">
        <v>711</v>
      </c>
      <c r="F126" s="10" t="s">
        <v>92</v>
      </c>
      <c r="G126" s="10" t="s">
        <v>352</v>
      </c>
      <c r="H126">
        <v>32</v>
      </c>
      <c r="I126">
        <v>10</v>
      </c>
      <c r="J126">
        <v>6</v>
      </c>
      <c r="K126">
        <v>8</v>
      </c>
      <c r="L126">
        <v>1</v>
      </c>
      <c r="Q126">
        <v>19</v>
      </c>
      <c r="T126">
        <v>7</v>
      </c>
      <c r="U126" s="1"/>
    </row>
    <row r="127" spans="1:21" x14ac:dyDescent="0.3">
      <c r="A127" s="41" t="s">
        <v>371</v>
      </c>
      <c r="B127" t="s">
        <v>21</v>
      </c>
      <c r="C127" t="s">
        <v>22</v>
      </c>
      <c r="D127" t="s">
        <v>372</v>
      </c>
      <c r="E127" t="s">
        <v>373</v>
      </c>
      <c r="F127" t="s">
        <v>374</v>
      </c>
      <c r="G127" t="s">
        <v>192</v>
      </c>
      <c r="H127">
        <v>86</v>
      </c>
      <c r="I127">
        <v>0</v>
      </c>
      <c r="J127">
        <v>0</v>
      </c>
      <c r="K127">
        <v>0</v>
      </c>
      <c r="L127">
        <v>0</v>
      </c>
      <c r="Q127">
        <v>20</v>
      </c>
      <c r="T127">
        <v>7</v>
      </c>
      <c r="U127" s="1"/>
    </row>
    <row r="128" spans="1:21" x14ac:dyDescent="0.3">
      <c r="A128" t="s">
        <v>375</v>
      </c>
      <c r="B128" t="s">
        <v>21</v>
      </c>
      <c r="C128" t="s">
        <v>22</v>
      </c>
      <c r="D128" t="s">
        <v>376</v>
      </c>
      <c r="E128" t="s">
        <v>377</v>
      </c>
      <c r="F128" t="s">
        <v>137</v>
      </c>
      <c r="G128" t="s">
        <v>378</v>
      </c>
      <c r="H128">
        <v>0</v>
      </c>
      <c r="I128">
        <v>0</v>
      </c>
      <c r="J128">
        <v>0</v>
      </c>
      <c r="K128">
        <v>0</v>
      </c>
      <c r="L128">
        <v>0</v>
      </c>
      <c r="Q128">
        <v>15</v>
      </c>
      <c r="T128">
        <v>10</v>
      </c>
      <c r="U128" s="1"/>
    </row>
    <row r="129" spans="1:21" x14ac:dyDescent="0.3">
      <c r="A129" t="s">
        <v>375</v>
      </c>
      <c r="B129" t="s">
        <v>21</v>
      </c>
      <c r="C129" t="s">
        <v>22</v>
      </c>
      <c r="D129" t="s">
        <v>376</v>
      </c>
      <c r="E129" t="s">
        <v>377</v>
      </c>
      <c r="F129" t="s">
        <v>137</v>
      </c>
      <c r="G129" t="s">
        <v>379</v>
      </c>
      <c r="H129">
        <v>0</v>
      </c>
      <c r="I129">
        <v>0</v>
      </c>
      <c r="J129">
        <v>0</v>
      </c>
      <c r="K129">
        <v>0</v>
      </c>
      <c r="L129">
        <v>0</v>
      </c>
      <c r="Q129">
        <v>19</v>
      </c>
      <c r="T129">
        <v>20</v>
      </c>
      <c r="U129" s="1"/>
    </row>
    <row r="130" spans="1:21" x14ac:dyDescent="0.3">
      <c r="A130" s="2" t="s">
        <v>375</v>
      </c>
      <c r="B130" t="s">
        <v>21</v>
      </c>
      <c r="C130" t="s">
        <v>22</v>
      </c>
      <c r="D130" t="s">
        <v>376</v>
      </c>
      <c r="E130" t="s">
        <v>377</v>
      </c>
      <c r="F130" t="s">
        <v>137</v>
      </c>
      <c r="G130" t="s">
        <v>380</v>
      </c>
      <c r="H130">
        <v>0</v>
      </c>
      <c r="I130">
        <v>0</v>
      </c>
      <c r="J130">
        <v>0</v>
      </c>
      <c r="K130">
        <v>0</v>
      </c>
      <c r="L130">
        <v>0</v>
      </c>
      <c r="Q130">
        <v>23</v>
      </c>
      <c r="T130">
        <v>13</v>
      </c>
      <c r="U130" s="1"/>
    </row>
    <row r="131" spans="1:21" x14ac:dyDescent="0.3">
      <c r="A131" s="2" t="s">
        <v>381</v>
      </c>
      <c r="B131" t="s">
        <v>21</v>
      </c>
      <c r="C131" t="s">
        <v>22</v>
      </c>
      <c r="D131" t="s">
        <v>382</v>
      </c>
      <c r="E131" t="s">
        <v>383</v>
      </c>
      <c r="F131" t="s">
        <v>142</v>
      </c>
      <c r="G131" t="s">
        <v>225</v>
      </c>
      <c r="H131">
        <v>0</v>
      </c>
      <c r="I131">
        <v>0</v>
      </c>
      <c r="J131">
        <v>0</v>
      </c>
      <c r="K131">
        <v>0</v>
      </c>
      <c r="L131">
        <v>0</v>
      </c>
      <c r="P131">
        <v>10</v>
      </c>
      <c r="Q131">
        <v>20</v>
      </c>
      <c r="T131">
        <v>9</v>
      </c>
      <c r="U131" s="1"/>
    </row>
    <row r="132" spans="1:21" x14ac:dyDescent="0.3">
      <c r="A132" t="s">
        <v>384</v>
      </c>
      <c r="B132" t="s">
        <v>53</v>
      </c>
      <c r="C132" t="s">
        <v>22</v>
      </c>
      <c r="D132" t="s">
        <v>385</v>
      </c>
      <c r="E132" t="s">
        <v>386</v>
      </c>
      <c r="F132" t="s">
        <v>56</v>
      </c>
      <c r="G132" t="s">
        <v>387</v>
      </c>
      <c r="H132">
        <v>0</v>
      </c>
      <c r="I132">
        <v>0</v>
      </c>
      <c r="J132">
        <v>0</v>
      </c>
      <c r="K132">
        <v>0</v>
      </c>
      <c r="L132">
        <v>0</v>
      </c>
      <c r="Q132">
        <v>6</v>
      </c>
      <c r="T132">
        <v>13</v>
      </c>
      <c r="U132" s="1"/>
    </row>
    <row r="133" spans="1:21" x14ac:dyDescent="0.3">
      <c r="A133" t="s">
        <v>388</v>
      </c>
      <c r="B133" t="s">
        <v>21</v>
      </c>
      <c r="C133" t="s">
        <v>29</v>
      </c>
      <c r="D133" t="s">
        <v>389</v>
      </c>
      <c r="E133" t="s">
        <v>390</v>
      </c>
      <c r="F133" t="s">
        <v>266</v>
      </c>
      <c r="G133" t="s">
        <v>73</v>
      </c>
      <c r="H133">
        <v>0</v>
      </c>
      <c r="I133">
        <v>0</v>
      </c>
      <c r="J133">
        <v>0</v>
      </c>
      <c r="K133">
        <v>0</v>
      </c>
      <c r="L133">
        <v>0</v>
      </c>
      <c r="Q133">
        <v>9</v>
      </c>
      <c r="T133">
        <v>3</v>
      </c>
      <c r="U133" s="1"/>
    </row>
    <row r="134" spans="1:21" x14ac:dyDescent="0.3">
      <c r="A134" t="s">
        <v>388</v>
      </c>
      <c r="B134" t="s">
        <v>21</v>
      </c>
      <c r="C134" t="s">
        <v>29</v>
      </c>
      <c r="D134" t="s">
        <v>389</v>
      </c>
      <c r="E134" t="s">
        <v>390</v>
      </c>
      <c r="F134" t="s">
        <v>266</v>
      </c>
      <c r="G134" t="s">
        <v>226</v>
      </c>
      <c r="H134">
        <v>0</v>
      </c>
      <c r="I134">
        <v>0</v>
      </c>
      <c r="J134">
        <v>0</v>
      </c>
      <c r="K134">
        <v>0</v>
      </c>
      <c r="L134">
        <v>0</v>
      </c>
      <c r="U134" s="1"/>
    </row>
    <row r="135" spans="1:21" x14ac:dyDescent="0.3">
      <c r="A135" t="s">
        <v>388</v>
      </c>
      <c r="B135" t="s">
        <v>21</v>
      </c>
      <c r="C135" t="s">
        <v>29</v>
      </c>
      <c r="D135" t="s">
        <v>389</v>
      </c>
      <c r="E135" t="s">
        <v>390</v>
      </c>
      <c r="F135" t="s">
        <v>266</v>
      </c>
      <c r="G135" t="s">
        <v>391</v>
      </c>
      <c r="H135">
        <v>0</v>
      </c>
      <c r="I135">
        <v>0</v>
      </c>
      <c r="J135">
        <v>0</v>
      </c>
      <c r="K135">
        <v>0</v>
      </c>
      <c r="L135">
        <v>0</v>
      </c>
      <c r="Q135">
        <v>9</v>
      </c>
      <c r="T135">
        <v>3</v>
      </c>
      <c r="U135" s="1"/>
    </row>
    <row r="136" spans="1:21" x14ac:dyDescent="0.3">
      <c r="A136" t="s">
        <v>392</v>
      </c>
      <c r="B136" t="s">
        <v>21</v>
      </c>
      <c r="D136" s="18" t="s">
        <v>393</v>
      </c>
      <c r="E136" s="10" t="s">
        <v>394</v>
      </c>
      <c r="F136" t="s">
        <v>32</v>
      </c>
      <c r="G136" t="s">
        <v>395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9</v>
      </c>
    </row>
    <row r="137" spans="1:21" x14ac:dyDescent="0.3">
      <c r="A137" s="10" t="s">
        <v>396</v>
      </c>
      <c r="B137" t="s">
        <v>28</v>
      </c>
      <c r="C137" t="s">
        <v>22</v>
      </c>
      <c r="D137" s="18" t="s">
        <v>397</v>
      </c>
      <c r="E137" s="10" t="s">
        <v>398</v>
      </c>
      <c r="F137" t="s">
        <v>279</v>
      </c>
      <c r="G137" t="s">
        <v>399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6</v>
      </c>
    </row>
    <row r="138" spans="1:21" x14ac:dyDescent="0.3">
      <c r="A138" s="10" t="s">
        <v>396</v>
      </c>
      <c r="B138" t="s">
        <v>28</v>
      </c>
      <c r="C138" t="s">
        <v>22</v>
      </c>
      <c r="D138" s="18" t="s">
        <v>397</v>
      </c>
      <c r="E138" s="10" t="s">
        <v>398</v>
      </c>
      <c r="F138" t="s">
        <v>279</v>
      </c>
      <c r="G138" t="s">
        <v>400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6</v>
      </c>
    </row>
    <row r="139" spans="1:21" x14ac:dyDescent="0.3">
      <c r="A139" s="10" t="s">
        <v>396</v>
      </c>
      <c r="B139" t="s">
        <v>28</v>
      </c>
      <c r="C139" t="s">
        <v>22</v>
      </c>
      <c r="D139" s="18" t="s">
        <v>397</v>
      </c>
      <c r="E139" s="10" t="s">
        <v>398</v>
      </c>
      <c r="F139" t="s">
        <v>279</v>
      </c>
      <c r="G139" t="s">
        <v>400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9</v>
      </c>
    </row>
    <row r="140" spans="1:21" x14ac:dyDescent="0.3">
      <c r="A140" s="42" t="s">
        <v>401</v>
      </c>
      <c r="B140" t="s">
        <v>21</v>
      </c>
      <c r="C140" t="s">
        <v>22</v>
      </c>
      <c r="D140" t="s">
        <v>402</v>
      </c>
      <c r="E140" t="s">
        <v>403</v>
      </c>
      <c r="F140" t="s">
        <v>266</v>
      </c>
      <c r="G140" t="s">
        <v>268</v>
      </c>
      <c r="H140">
        <v>33</v>
      </c>
      <c r="I140">
        <v>11</v>
      </c>
      <c r="J140">
        <v>4</v>
      </c>
      <c r="K140">
        <v>8</v>
      </c>
      <c r="L140">
        <v>1</v>
      </c>
      <c r="Q140">
        <v>16</v>
      </c>
      <c r="T140">
        <v>4</v>
      </c>
      <c r="U140" s="1"/>
    </row>
    <row r="141" spans="1:21" x14ac:dyDescent="0.3">
      <c r="A141" s="10" t="s">
        <v>404</v>
      </c>
      <c r="F141" t="s">
        <v>266</v>
      </c>
      <c r="H141">
        <v>0</v>
      </c>
      <c r="I141">
        <v>0</v>
      </c>
      <c r="J141">
        <v>0</v>
      </c>
      <c r="K141">
        <v>0</v>
      </c>
      <c r="L141">
        <v>0</v>
      </c>
      <c r="U141" s="1"/>
    </row>
    <row r="142" spans="1:21" x14ac:dyDescent="0.3">
      <c r="A142" t="s">
        <v>405</v>
      </c>
      <c r="B142" t="s">
        <v>21</v>
      </c>
      <c r="D142" t="s">
        <v>406</v>
      </c>
      <c r="E142" t="s">
        <v>407</v>
      </c>
      <c r="F142" t="s">
        <v>408</v>
      </c>
      <c r="G142" t="s">
        <v>409</v>
      </c>
      <c r="H142">
        <v>0</v>
      </c>
      <c r="I142">
        <v>0</v>
      </c>
      <c r="J142">
        <v>0</v>
      </c>
      <c r="K142">
        <v>0</v>
      </c>
      <c r="L142">
        <v>0</v>
      </c>
      <c r="Q142">
        <v>10</v>
      </c>
      <c r="T142">
        <v>0</v>
      </c>
      <c r="U142" s="1"/>
    </row>
    <row r="143" spans="1:21" x14ac:dyDescent="0.3">
      <c r="A143" t="s">
        <v>405</v>
      </c>
      <c r="B143" t="s">
        <v>21</v>
      </c>
      <c r="D143" t="s">
        <v>406</v>
      </c>
      <c r="E143" t="s">
        <v>407</v>
      </c>
      <c r="F143" t="s">
        <v>408</v>
      </c>
      <c r="G143" t="s">
        <v>410</v>
      </c>
      <c r="H143">
        <v>0</v>
      </c>
      <c r="I143">
        <v>0</v>
      </c>
      <c r="J143">
        <v>0</v>
      </c>
      <c r="K143">
        <v>0</v>
      </c>
      <c r="L143">
        <v>0</v>
      </c>
      <c r="Q143">
        <v>13</v>
      </c>
      <c r="T143">
        <v>12</v>
      </c>
      <c r="U143" s="1"/>
    </row>
    <row r="144" spans="1:21" x14ac:dyDescent="0.3">
      <c r="A144" s="41" t="s">
        <v>405</v>
      </c>
      <c r="B144" t="s">
        <v>21</v>
      </c>
      <c r="D144" t="s">
        <v>406</v>
      </c>
      <c r="E144" t="s">
        <v>407</v>
      </c>
      <c r="F144" t="s">
        <v>408</v>
      </c>
      <c r="G144" t="s">
        <v>192</v>
      </c>
      <c r="H144">
        <v>80</v>
      </c>
      <c r="I144">
        <v>40</v>
      </c>
      <c r="J144">
        <v>20</v>
      </c>
      <c r="K144">
        <v>0</v>
      </c>
      <c r="L144">
        <v>0</v>
      </c>
      <c r="Q144">
        <v>20</v>
      </c>
      <c r="T144">
        <v>5</v>
      </c>
      <c r="U144" s="1"/>
    </row>
    <row r="145" spans="1:21" x14ac:dyDescent="0.3">
      <c r="A145" t="s">
        <v>405</v>
      </c>
      <c r="B145" t="s">
        <v>21</v>
      </c>
      <c r="D145" t="s">
        <v>406</v>
      </c>
      <c r="E145" t="s">
        <v>407</v>
      </c>
      <c r="F145" t="s">
        <v>408</v>
      </c>
      <c r="G145" t="s">
        <v>411</v>
      </c>
      <c r="H145">
        <v>0</v>
      </c>
      <c r="I145">
        <v>0</v>
      </c>
      <c r="J145">
        <v>0</v>
      </c>
      <c r="K145">
        <v>0</v>
      </c>
      <c r="L145">
        <v>0</v>
      </c>
      <c r="Q145">
        <v>14</v>
      </c>
      <c r="T145">
        <v>10</v>
      </c>
      <c r="U145" s="1"/>
    </row>
    <row r="146" spans="1:21" x14ac:dyDescent="0.3">
      <c r="A146" t="s">
        <v>405</v>
      </c>
      <c r="B146" t="s">
        <v>21</v>
      </c>
      <c r="D146" t="s">
        <v>406</v>
      </c>
      <c r="E146" t="s">
        <v>407</v>
      </c>
      <c r="F146" t="s">
        <v>408</v>
      </c>
      <c r="G146" t="s">
        <v>321</v>
      </c>
      <c r="H146">
        <v>0</v>
      </c>
      <c r="I146">
        <v>0</v>
      </c>
      <c r="J146">
        <v>0</v>
      </c>
      <c r="K146">
        <v>0</v>
      </c>
      <c r="L146">
        <v>0</v>
      </c>
      <c r="Q146">
        <v>16</v>
      </c>
      <c r="T146">
        <v>8</v>
      </c>
      <c r="U146" s="1"/>
    </row>
    <row r="147" spans="1:21" x14ac:dyDescent="0.3">
      <c r="A147" t="s">
        <v>405</v>
      </c>
      <c r="B147" t="s">
        <v>21</v>
      </c>
      <c r="D147" t="s">
        <v>406</v>
      </c>
      <c r="E147" t="s">
        <v>407</v>
      </c>
      <c r="F147" t="s">
        <v>408</v>
      </c>
      <c r="G147" t="s">
        <v>412</v>
      </c>
      <c r="H147">
        <v>0</v>
      </c>
      <c r="I147">
        <v>0</v>
      </c>
      <c r="J147">
        <v>0</v>
      </c>
      <c r="K147">
        <v>0</v>
      </c>
      <c r="L147">
        <v>0</v>
      </c>
      <c r="Q147">
        <v>17</v>
      </c>
      <c r="T147">
        <v>16</v>
      </c>
      <c r="U147" s="1"/>
    </row>
    <row r="148" spans="1:21" x14ac:dyDescent="0.3">
      <c r="A148" s="2" t="s">
        <v>413</v>
      </c>
      <c r="B148" t="s">
        <v>28</v>
      </c>
      <c r="D148" s="18" t="s">
        <v>414</v>
      </c>
      <c r="E148" s="10" t="s">
        <v>415</v>
      </c>
      <c r="F148" t="s">
        <v>92</v>
      </c>
      <c r="G148" t="s">
        <v>416</v>
      </c>
      <c r="H148">
        <v>0</v>
      </c>
      <c r="I148">
        <v>0</v>
      </c>
      <c r="J148">
        <v>0</v>
      </c>
      <c r="K148">
        <v>0</v>
      </c>
      <c r="L148">
        <v>0</v>
      </c>
      <c r="U148" s="1"/>
    </row>
    <row r="149" spans="1:21" x14ac:dyDescent="0.3">
      <c r="A149" t="s">
        <v>417</v>
      </c>
      <c r="B149" t="s">
        <v>21</v>
      </c>
      <c r="C149" t="s">
        <v>22</v>
      </c>
      <c r="D149" t="s">
        <v>418</v>
      </c>
      <c r="E149" t="s">
        <v>419</v>
      </c>
      <c r="F149" t="s">
        <v>25</v>
      </c>
      <c r="G149" t="s">
        <v>420</v>
      </c>
      <c r="H149">
        <v>0</v>
      </c>
      <c r="I149">
        <v>0</v>
      </c>
      <c r="J149">
        <v>0</v>
      </c>
      <c r="K149">
        <v>0</v>
      </c>
      <c r="L149">
        <v>0</v>
      </c>
      <c r="Q149">
        <v>20</v>
      </c>
      <c r="T149">
        <v>14</v>
      </c>
      <c r="U149" s="1"/>
    </row>
    <row r="150" spans="1:21" x14ac:dyDescent="0.3">
      <c r="A150" t="s">
        <v>421</v>
      </c>
      <c r="B150" t="s">
        <v>21</v>
      </c>
      <c r="C150" t="s">
        <v>22</v>
      </c>
      <c r="D150" s="18" t="s">
        <v>422</v>
      </c>
      <c r="E150" s="10" t="s">
        <v>423</v>
      </c>
      <c r="F150" t="s">
        <v>142</v>
      </c>
      <c r="G150" t="s">
        <v>424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21" x14ac:dyDescent="0.3">
      <c r="A151" t="s">
        <v>425</v>
      </c>
      <c r="B151" t="s">
        <v>28</v>
      </c>
      <c r="C151" t="s">
        <v>22</v>
      </c>
      <c r="D151" t="s">
        <v>426</v>
      </c>
      <c r="E151" t="s">
        <v>427</v>
      </c>
      <c r="F151" t="s">
        <v>25</v>
      </c>
      <c r="G151" t="s">
        <v>428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5</v>
      </c>
      <c r="Q151">
        <v>10</v>
      </c>
      <c r="T151">
        <v>2</v>
      </c>
      <c r="U151" s="1"/>
    </row>
    <row r="152" spans="1:21" x14ac:dyDescent="0.3">
      <c r="A152" t="s">
        <v>429</v>
      </c>
      <c r="B152" t="s">
        <v>21</v>
      </c>
      <c r="D152" s="10"/>
      <c r="F152" t="s">
        <v>25</v>
      </c>
      <c r="G152" t="s">
        <v>430</v>
      </c>
      <c r="H152">
        <v>0</v>
      </c>
      <c r="I152">
        <v>0</v>
      </c>
      <c r="J152">
        <v>0</v>
      </c>
      <c r="K152">
        <v>0</v>
      </c>
      <c r="L152">
        <v>0</v>
      </c>
      <c r="P152">
        <v>10</v>
      </c>
    </row>
    <row r="153" spans="1:21" x14ac:dyDescent="0.3">
      <c r="A153" t="s">
        <v>431</v>
      </c>
      <c r="B153" t="s">
        <v>28</v>
      </c>
      <c r="C153" t="s">
        <v>29</v>
      </c>
      <c r="D153" t="s">
        <v>432</v>
      </c>
      <c r="E153" t="s">
        <v>433</v>
      </c>
      <c r="F153" t="s">
        <v>92</v>
      </c>
      <c r="G153" t="s">
        <v>434</v>
      </c>
      <c r="H153">
        <v>0</v>
      </c>
      <c r="I153">
        <v>0</v>
      </c>
      <c r="J153">
        <v>0</v>
      </c>
      <c r="K153">
        <v>0</v>
      </c>
      <c r="L153">
        <v>0</v>
      </c>
      <c r="Q153">
        <v>14</v>
      </c>
      <c r="T153">
        <v>21</v>
      </c>
      <c r="U153" s="1"/>
    </row>
    <row r="154" spans="1:21" x14ac:dyDescent="0.3">
      <c r="A154" t="s">
        <v>435</v>
      </c>
      <c r="B154" t="s">
        <v>28</v>
      </c>
      <c r="C154" t="s">
        <v>29</v>
      </c>
      <c r="D154" s="18" t="s">
        <v>436</v>
      </c>
      <c r="E154" s="10" t="s">
        <v>437</v>
      </c>
      <c r="F154" t="s">
        <v>32</v>
      </c>
      <c r="G154" t="s">
        <v>438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8</v>
      </c>
    </row>
    <row r="155" spans="1:21" x14ac:dyDescent="0.3">
      <c r="A155" t="s">
        <v>439</v>
      </c>
      <c r="B155" t="s">
        <v>21</v>
      </c>
      <c r="D155" s="18" t="s">
        <v>440</v>
      </c>
      <c r="E155" s="10" t="s">
        <v>441</v>
      </c>
      <c r="F155" t="s">
        <v>279</v>
      </c>
      <c r="G155" t="s">
        <v>442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21" x14ac:dyDescent="0.3">
      <c r="A156" t="s">
        <v>443</v>
      </c>
      <c r="B156" t="s">
        <v>28</v>
      </c>
      <c r="C156" t="s">
        <v>29</v>
      </c>
      <c r="D156" s="18" t="s">
        <v>444</v>
      </c>
      <c r="E156" s="10" t="s">
        <v>445</v>
      </c>
      <c r="F156" t="s">
        <v>279</v>
      </c>
      <c r="G156" t="s">
        <v>196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21" x14ac:dyDescent="0.3">
      <c r="A157" t="s">
        <v>446</v>
      </c>
      <c r="B157" t="s">
        <v>28</v>
      </c>
      <c r="C157" t="s">
        <v>22</v>
      </c>
      <c r="D157" t="s">
        <v>451</v>
      </c>
      <c r="E157" t="s">
        <v>452</v>
      </c>
      <c r="F157" t="s">
        <v>38</v>
      </c>
      <c r="G157" t="s">
        <v>453</v>
      </c>
      <c r="H157">
        <v>0</v>
      </c>
      <c r="I157">
        <v>0</v>
      </c>
      <c r="J157">
        <v>0</v>
      </c>
      <c r="K157">
        <v>0</v>
      </c>
      <c r="L157">
        <v>0</v>
      </c>
      <c r="O157">
        <v>8</v>
      </c>
      <c r="Q157">
        <v>6</v>
      </c>
      <c r="T157">
        <v>16</v>
      </c>
      <c r="U157" s="1"/>
    </row>
    <row r="158" spans="1:21" x14ac:dyDescent="0.3">
      <c r="A158" t="s">
        <v>446</v>
      </c>
      <c r="B158" t="s">
        <v>28</v>
      </c>
      <c r="C158" t="s">
        <v>22</v>
      </c>
      <c r="D158" t="s">
        <v>451</v>
      </c>
      <c r="E158" t="s">
        <v>452</v>
      </c>
      <c r="F158" t="s">
        <v>38</v>
      </c>
      <c r="G158" t="s">
        <v>696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8</v>
      </c>
      <c r="Q158">
        <v>6</v>
      </c>
      <c r="T158">
        <v>16</v>
      </c>
      <c r="U158" s="1"/>
    </row>
    <row r="159" spans="1:21" x14ac:dyDescent="0.3">
      <c r="A159" t="s">
        <v>450</v>
      </c>
      <c r="B159" t="s">
        <v>21</v>
      </c>
      <c r="C159" t="s">
        <v>22</v>
      </c>
      <c r="D159" t="s">
        <v>455</v>
      </c>
      <c r="E159" t="s">
        <v>456</v>
      </c>
      <c r="F159" t="s">
        <v>142</v>
      </c>
      <c r="G159" t="s">
        <v>268</v>
      </c>
      <c r="H159">
        <v>0</v>
      </c>
      <c r="I159">
        <v>0</v>
      </c>
      <c r="J159">
        <v>0</v>
      </c>
      <c r="K159">
        <v>0</v>
      </c>
      <c r="L159">
        <v>0</v>
      </c>
      <c r="P159">
        <v>9</v>
      </c>
      <c r="Q159">
        <v>33</v>
      </c>
      <c r="T159">
        <v>25</v>
      </c>
      <c r="U159" s="1"/>
    </row>
    <row r="160" spans="1:21" x14ac:dyDescent="0.3">
      <c r="A160" t="s">
        <v>454</v>
      </c>
      <c r="B160" t="s">
        <v>21</v>
      </c>
      <c r="C160" t="s">
        <v>22</v>
      </c>
      <c r="D160" t="s">
        <v>458</v>
      </c>
      <c r="E160" t="s">
        <v>459</v>
      </c>
      <c r="F160" t="s">
        <v>25</v>
      </c>
      <c r="G160" t="s">
        <v>460</v>
      </c>
      <c r="H160">
        <v>0</v>
      </c>
      <c r="I160">
        <v>0</v>
      </c>
      <c r="J160">
        <v>0</v>
      </c>
      <c r="K160">
        <v>0</v>
      </c>
      <c r="L160">
        <v>0</v>
      </c>
      <c r="Q160" s="1">
        <v>17.75</v>
      </c>
      <c r="R160" s="1"/>
      <c r="S160" s="1"/>
      <c r="T160" s="1">
        <v>10.25</v>
      </c>
      <c r="U160" s="1"/>
    </row>
    <row r="161" spans="1:21" x14ac:dyDescent="0.3">
      <c r="A161" s="2" t="s">
        <v>457</v>
      </c>
      <c r="B161" t="s">
        <v>21</v>
      </c>
      <c r="C161" t="s">
        <v>22</v>
      </c>
      <c r="D161" t="s">
        <v>458</v>
      </c>
      <c r="E161" t="s">
        <v>459</v>
      </c>
      <c r="F161" t="s">
        <v>25</v>
      </c>
      <c r="G161" t="s">
        <v>461</v>
      </c>
      <c r="H161">
        <v>0</v>
      </c>
      <c r="I161">
        <v>0</v>
      </c>
      <c r="J161">
        <v>0</v>
      </c>
      <c r="K161">
        <v>0</v>
      </c>
      <c r="L161">
        <v>0</v>
      </c>
      <c r="Q161" s="1">
        <v>19.75</v>
      </c>
      <c r="R161" s="1"/>
      <c r="S161" s="1"/>
      <c r="T161" s="1">
        <v>15.75</v>
      </c>
      <c r="U161" s="1"/>
    </row>
    <row r="162" spans="1:21" x14ac:dyDescent="0.3">
      <c r="A162" t="s">
        <v>457</v>
      </c>
      <c r="B162" t="s">
        <v>21</v>
      </c>
      <c r="C162" t="s">
        <v>22</v>
      </c>
      <c r="D162" t="s">
        <v>458</v>
      </c>
      <c r="E162" t="s">
        <v>459</v>
      </c>
      <c r="F162" t="s">
        <v>25</v>
      </c>
      <c r="G162" t="s">
        <v>461</v>
      </c>
      <c r="H162">
        <v>0</v>
      </c>
      <c r="I162">
        <v>0</v>
      </c>
      <c r="J162">
        <v>0</v>
      </c>
      <c r="K162">
        <v>0</v>
      </c>
      <c r="L162">
        <v>0</v>
      </c>
      <c r="Q162" s="1">
        <v>19.75</v>
      </c>
      <c r="R162" s="1"/>
      <c r="S162" s="1"/>
      <c r="T162" s="1">
        <v>15.75</v>
      </c>
      <c r="U162" s="1"/>
    </row>
    <row r="163" spans="1:21" x14ac:dyDescent="0.3">
      <c r="A163" t="s">
        <v>457</v>
      </c>
      <c r="B163" t="s">
        <v>21</v>
      </c>
      <c r="C163" t="s">
        <v>22</v>
      </c>
      <c r="D163" t="s">
        <v>458</v>
      </c>
      <c r="E163" t="s">
        <v>459</v>
      </c>
      <c r="F163" t="s">
        <v>25</v>
      </c>
      <c r="G163" t="s">
        <v>462</v>
      </c>
      <c r="H163">
        <v>0</v>
      </c>
      <c r="I163">
        <v>0</v>
      </c>
      <c r="J163">
        <v>0</v>
      </c>
      <c r="K163">
        <v>0</v>
      </c>
      <c r="L163">
        <v>0</v>
      </c>
      <c r="Q163" s="1">
        <v>21.75</v>
      </c>
      <c r="R163" s="1"/>
      <c r="S163" s="1"/>
      <c r="T163" s="1">
        <v>14.75</v>
      </c>
      <c r="U163" s="1"/>
    </row>
    <row r="164" spans="1:21" x14ac:dyDescent="0.3">
      <c r="A164" t="s">
        <v>457</v>
      </c>
      <c r="B164" t="s">
        <v>28</v>
      </c>
      <c r="C164" t="s">
        <v>29</v>
      </c>
      <c r="D164" s="18" t="s">
        <v>464</v>
      </c>
      <c r="E164" s="10" t="s">
        <v>465</v>
      </c>
      <c r="F164" t="s">
        <v>92</v>
      </c>
      <c r="G164" t="s">
        <v>466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21" x14ac:dyDescent="0.3">
      <c r="A165" t="s">
        <v>687</v>
      </c>
      <c r="B165" t="s">
        <v>21</v>
      </c>
      <c r="D165" s="10" t="s">
        <v>693</v>
      </c>
      <c r="E165" s="10" t="s">
        <v>692</v>
      </c>
      <c r="F165" t="s">
        <v>43</v>
      </c>
      <c r="G165" t="s">
        <v>694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21" x14ac:dyDescent="0.3">
      <c r="A166" t="s">
        <v>463</v>
      </c>
      <c r="B166" t="s">
        <v>53</v>
      </c>
      <c r="C166" t="s">
        <v>29</v>
      </c>
      <c r="D166" t="s">
        <v>468</v>
      </c>
      <c r="E166" t="s">
        <v>469</v>
      </c>
      <c r="F166" t="s">
        <v>56</v>
      </c>
      <c r="G166" t="s">
        <v>470</v>
      </c>
      <c r="H166">
        <v>0</v>
      </c>
      <c r="I166">
        <v>0</v>
      </c>
      <c r="J166">
        <v>0</v>
      </c>
      <c r="K166">
        <v>0</v>
      </c>
      <c r="L166">
        <v>0</v>
      </c>
      <c r="Q166">
        <v>10</v>
      </c>
      <c r="R166">
        <v>3</v>
      </c>
      <c r="S166">
        <v>9.5</v>
      </c>
      <c r="T166">
        <v>4</v>
      </c>
      <c r="U166" s="1"/>
    </row>
    <row r="167" spans="1:21" x14ac:dyDescent="0.3">
      <c r="A167" t="s">
        <v>467</v>
      </c>
      <c r="B167" t="s">
        <v>28</v>
      </c>
      <c r="C167" t="s">
        <v>22</v>
      </c>
      <c r="E167" t="s">
        <v>472</v>
      </c>
      <c r="F167" t="s">
        <v>473</v>
      </c>
      <c r="H167">
        <v>0</v>
      </c>
      <c r="I167">
        <v>0</v>
      </c>
      <c r="J167">
        <v>0</v>
      </c>
      <c r="K167">
        <v>0</v>
      </c>
      <c r="L167">
        <v>0</v>
      </c>
      <c r="U167" s="1"/>
    </row>
    <row r="168" spans="1:21" x14ac:dyDescent="0.3">
      <c r="A168" s="10" t="s">
        <v>691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21" x14ac:dyDescent="0.3">
      <c r="A169" t="s">
        <v>471</v>
      </c>
      <c r="B169" t="s">
        <v>113</v>
      </c>
      <c r="C169" t="s">
        <v>22</v>
      </c>
      <c r="D169" t="s">
        <v>475</v>
      </c>
      <c r="E169" t="s">
        <v>476</v>
      </c>
      <c r="F169" t="s">
        <v>477</v>
      </c>
      <c r="G169" t="s">
        <v>478</v>
      </c>
      <c r="H169">
        <v>0</v>
      </c>
      <c r="I169">
        <v>0</v>
      </c>
      <c r="J169">
        <v>0</v>
      </c>
      <c r="K169">
        <v>0</v>
      </c>
      <c r="L169">
        <v>0</v>
      </c>
      <c r="Q169">
        <v>6</v>
      </c>
      <c r="T169">
        <v>7</v>
      </c>
      <c r="U169" s="1"/>
    </row>
    <row r="170" spans="1:21" x14ac:dyDescent="0.3">
      <c r="A170" t="s">
        <v>474</v>
      </c>
      <c r="B170" t="s">
        <v>21</v>
      </c>
      <c r="C170" t="s">
        <v>29</v>
      </c>
      <c r="D170" t="s">
        <v>480</v>
      </c>
      <c r="E170" t="s">
        <v>481</v>
      </c>
      <c r="F170" t="s">
        <v>482</v>
      </c>
      <c r="G170" t="s">
        <v>409</v>
      </c>
      <c r="H170">
        <v>0</v>
      </c>
      <c r="I170">
        <v>0</v>
      </c>
      <c r="J170">
        <v>0</v>
      </c>
      <c r="K170">
        <v>0</v>
      </c>
      <c r="L170">
        <v>0</v>
      </c>
      <c r="Q170">
        <v>7.5</v>
      </c>
      <c r="R170">
        <v>2.5</v>
      </c>
      <c r="S170">
        <v>6.5</v>
      </c>
      <c r="T170">
        <v>0</v>
      </c>
      <c r="U170" s="1"/>
    </row>
    <row r="171" spans="1:21" x14ac:dyDescent="0.3">
      <c r="A171" s="41" t="s">
        <v>479</v>
      </c>
      <c r="B171" t="s">
        <v>21</v>
      </c>
      <c r="C171" t="s">
        <v>29</v>
      </c>
      <c r="D171" t="s">
        <v>480</v>
      </c>
      <c r="E171" t="s">
        <v>481</v>
      </c>
      <c r="F171" t="s">
        <v>482</v>
      </c>
      <c r="G171" s="13" t="s">
        <v>708</v>
      </c>
      <c r="H171">
        <v>20</v>
      </c>
      <c r="I171">
        <v>8</v>
      </c>
      <c r="J171">
        <v>4</v>
      </c>
      <c r="K171">
        <v>0</v>
      </c>
      <c r="L171">
        <v>0</v>
      </c>
      <c r="U171" s="1"/>
    </row>
    <row r="172" spans="1:21" x14ac:dyDescent="0.3">
      <c r="A172" t="s">
        <v>479</v>
      </c>
      <c r="B172" t="s">
        <v>21</v>
      </c>
      <c r="C172" t="s">
        <v>29</v>
      </c>
      <c r="D172" t="s">
        <v>480</v>
      </c>
      <c r="E172" t="s">
        <v>481</v>
      </c>
      <c r="F172" t="s">
        <v>482</v>
      </c>
      <c r="G172" t="s">
        <v>483</v>
      </c>
      <c r="H172">
        <v>0</v>
      </c>
      <c r="I172">
        <v>0</v>
      </c>
      <c r="J172">
        <v>0</v>
      </c>
      <c r="K172">
        <v>0</v>
      </c>
      <c r="L172">
        <v>0</v>
      </c>
      <c r="Q172">
        <v>25.5</v>
      </c>
      <c r="R172">
        <v>17.5</v>
      </c>
      <c r="S172">
        <v>25.5</v>
      </c>
      <c r="T172">
        <v>20</v>
      </c>
      <c r="U172" s="1"/>
    </row>
    <row r="173" spans="1:21" x14ac:dyDescent="0.3">
      <c r="A173" t="s">
        <v>479</v>
      </c>
      <c r="B173" t="s">
        <v>53</v>
      </c>
      <c r="D173" t="s">
        <v>485</v>
      </c>
      <c r="E173" t="s">
        <v>486</v>
      </c>
      <c r="F173" t="s">
        <v>56</v>
      </c>
      <c r="G173" t="s">
        <v>487</v>
      </c>
      <c r="H173">
        <v>0</v>
      </c>
      <c r="I173">
        <v>0</v>
      </c>
      <c r="J173">
        <v>0</v>
      </c>
      <c r="K173">
        <v>0</v>
      </c>
      <c r="L173">
        <v>0</v>
      </c>
      <c r="Q173">
        <v>14</v>
      </c>
      <c r="T173">
        <v>3</v>
      </c>
      <c r="U173" s="1"/>
    </row>
    <row r="174" spans="1:21" x14ac:dyDescent="0.3">
      <c r="A174" t="s">
        <v>484</v>
      </c>
      <c r="B174" t="s">
        <v>28</v>
      </c>
      <c r="C174" t="s">
        <v>29</v>
      </c>
      <c r="D174" t="s">
        <v>489</v>
      </c>
      <c r="E174" t="s">
        <v>490</v>
      </c>
      <c r="F174" t="s">
        <v>155</v>
      </c>
      <c r="G174" t="s">
        <v>491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4</v>
      </c>
      <c r="Q174">
        <v>9</v>
      </c>
      <c r="T174">
        <v>19</v>
      </c>
      <c r="U174" s="1"/>
    </row>
    <row r="175" spans="1:21" x14ac:dyDescent="0.3">
      <c r="A175" t="s">
        <v>488</v>
      </c>
      <c r="B175" t="s">
        <v>28</v>
      </c>
      <c r="C175" t="s">
        <v>29</v>
      </c>
      <c r="D175" t="s">
        <v>489</v>
      </c>
      <c r="E175" t="s">
        <v>490</v>
      </c>
      <c r="F175" t="s">
        <v>155</v>
      </c>
      <c r="G175" t="s">
        <v>492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6</v>
      </c>
      <c r="Q175">
        <v>9</v>
      </c>
      <c r="T175">
        <v>19</v>
      </c>
      <c r="U175" s="1"/>
    </row>
    <row r="176" spans="1:21" x14ac:dyDescent="0.3">
      <c r="A176" t="s">
        <v>488</v>
      </c>
      <c r="B176" t="s">
        <v>28</v>
      </c>
      <c r="C176" t="s">
        <v>29</v>
      </c>
      <c r="D176" t="s">
        <v>489</v>
      </c>
      <c r="E176" t="s">
        <v>490</v>
      </c>
      <c r="F176" t="s">
        <v>155</v>
      </c>
      <c r="G176" t="s">
        <v>492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6</v>
      </c>
      <c r="Q176">
        <v>9</v>
      </c>
      <c r="T176">
        <v>19</v>
      </c>
      <c r="U176" s="1"/>
    </row>
    <row r="177" spans="1:21" x14ac:dyDescent="0.3">
      <c r="A177" t="s">
        <v>488</v>
      </c>
      <c r="B177" t="s">
        <v>21</v>
      </c>
      <c r="C177" t="s">
        <v>22</v>
      </c>
      <c r="D177" s="18" t="s">
        <v>494</v>
      </c>
      <c r="E177" s="10" t="s">
        <v>495</v>
      </c>
      <c r="F177" t="s">
        <v>25</v>
      </c>
      <c r="G177" t="s">
        <v>496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21" x14ac:dyDescent="0.3">
      <c r="A178" t="s">
        <v>493</v>
      </c>
      <c r="B178" t="s">
        <v>21</v>
      </c>
      <c r="C178" t="s">
        <v>29</v>
      </c>
      <c r="D178" t="s">
        <v>498</v>
      </c>
      <c r="E178" t="s">
        <v>221</v>
      </c>
      <c r="F178" t="s">
        <v>142</v>
      </c>
      <c r="G178" t="s">
        <v>499</v>
      </c>
      <c r="H178">
        <v>0</v>
      </c>
      <c r="I178">
        <v>0</v>
      </c>
      <c r="J178">
        <v>0</v>
      </c>
      <c r="K178">
        <v>0</v>
      </c>
      <c r="L178">
        <v>0</v>
      </c>
      <c r="Q178">
        <v>6</v>
      </c>
      <c r="T178">
        <v>14</v>
      </c>
      <c r="U178" s="1"/>
    </row>
    <row r="179" spans="1:21" x14ac:dyDescent="0.3">
      <c r="A179" t="s">
        <v>497</v>
      </c>
      <c r="B179" t="s">
        <v>53</v>
      </c>
      <c r="C179" t="s">
        <v>29</v>
      </c>
      <c r="D179" s="10" t="s">
        <v>501</v>
      </c>
      <c r="E179" s="10" t="s">
        <v>502</v>
      </c>
      <c r="F179" t="s">
        <v>56</v>
      </c>
      <c r="G179" t="s">
        <v>503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21" x14ac:dyDescent="0.3">
      <c r="A180" t="s">
        <v>500</v>
      </c>
      <c r="B180" t="s">
        <v>21</v>
      </c>
      <c r="C180" t="s">
        <v>22</v>
      </c>
      <c r="D180" s="18" t="s">
        <v>688</v>
      </c>
      <c r="E180" s="10" t="s">
        <v>689</v>
      </c>
      <c r="F180" t="s">
        <v>43</v>
      </c>
      <c r="G180" t="s">
        <v>690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21" x14ac:dyDescent="0.3">
      <c r="H181">
        <f>SUM(H2:H4)</f>
        <v>0</v>
      </c>
    </row>
  </sheetData>
  <autoFilter ref="A1:U181" xr:uid="{E6B94256-6987-42BF-B5A4-CCFB3DECE18D}">
    <sortState xmlns:xlrd2="http://schemas.microsoft.com/office/spreadsheetml/2017/richdata2" ref="A2:U181">
      <sortCondition ref="A1:A177"/>
    </sortState>
  </autoFilter>
  <hyperlinks>
    <hyperlink ref="D22" r:id="rId1" xr:uid="{B3C9818A-CADC-4E45-A7D9-00F9A1A7C68E}"/>
    <hyperlink ref="D155" r:id="rId2" xr:uid="{1B429CFF-E257-4FF6-AB2E-E8E7590E372F}"/>
    <hyperlink ref="D138" r:id="rId3" xr:uid="{FB9BF160-FC39-46F4-8CCD-EEE4FDFD9375}"/>
    <hyperlink ref="D139" r:id="rId4" xr:uid="{55D70A32-A42A-499B-8826-AB0A9709DE4B}"/>
    <hyperlink ref="D29" r:id="rId5" xr:uid="{D99CCAB0-DF45-4DBE-AE8E-0359E4C289E0}"/>
    <hyperlink ref="D137" r:id="rId6" xr:uid="{221D5913-5F43-46C6-8EEB-677C40A751E4}"/>
    <hyperlink ref="D156" r:id="rId7" xr:uid="{A525E5A2-66C4-4FCF-B0E3-26BBDD3C7037}"/>
    <hyperlink ref="D177" r:id="rId8" display="tyler@w2energyservices.com" xr:uid="{2AD2CC23-25E8-475B-8F58-388EF25EE828}"/>
    <hyperlink ref="D113" r:id="rId9" xr:uid="{5060F78A-B1B5-441F-AC78-61F2A1E33FED}"/>
    <hyperlink ref="D114" r:id="rId10" xr:uid="{D8AC10E7-E91E-48B0-8FE6-7E5B09C3F687}"/>
    <hyperlink ref="D53" r:id="rId11" xr:uid="{486928D6-7A0F-4159-B09A-70C2849BEAB8}"/>
    <hyperlink ref="D96" r:id="rId12" xr:uid="{679B7B72-1FE0-46A0-AC2D-1A840E6E37F1}"/>
    <hyperlink ref="D2" r:id="rId13" xr:uid="{371B4865-35C8-4852-A17F-BE192086035A}"/>
    <hyperlink ref="D106" r:id="rId14" xr:uid="{B00FF8FA-7DFF-48FB-9C05-2450F4B09AFE}"/>
    <hyperlink ref="D150" r:id="rId15" display="readelectric@aol.com" xr:uid="{51911461-7FF4-4B6E-8A4D-D6586A217F6B}"/>
    <hyperlink ref="D148" r:id="rId16" xr:uid="{A27DEDBA-CFD2-413C-AF2C-8362FA3098FC}"/>
    <hyperlink ref="D164" r:id="rId17" xr:uid="{64D11762-E531-4BAA-94DB-9AED6517BA8A}"/>
    <hyperlink ref="D17" r:id="rId18" xr:uid="{E0D12902-833B-471D-98C7-2CACFC82E5DB}"/>
    <hyperlink ref="D100" r:id="rId19" xr:uid="{1CA1B79A-CD34-4EA3-80C3-CFE8C9CFAAFD}"/>
    <hyperlink ref="D180" r:id="rId20" xr:uid="{2D3E3AB7-0717-4424-8E0B-E1B69497CD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BA16-0B73-4592-B35D-676482B1DA88}">
  <dimension ref="A1:U176"/>
  <sheetViews>
    <sheetView zoomScaleNormal="100" workbookViewId="0">
      <pane ySplit="1" topLeftCell="A161" activePane="bottomLeft" state="frozen"/>
      <selection pane="bottomLeft" activeCell="M4" sqref="M4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3.6640625" bestFit="1" customWidth="1"/>
    <col min="6" max="6" width="18.5546875" bestFit="1" customWidth="1"/>
    <col min="7" max="7" width="16.33203125" bestFit="1" customWidth="1"/>
    <col min="13" max="13" width="26.109375" bestFit="1" customWidth="1"/>
    <col min="14" max="14" width="28.33203125" bestFit="1" customWidth="1"/>
    <col min="15" max="15" width="24.6640625" bestFit="1" customWidth="1"/>
    <col min="16" max="16" width="21.5546875" bestFit="1" customWidth="1"/>
    <col min="17" max="17" width="28.88671875" bestFit="1" customWidth="1"/>
    <col min="18" max="18" width="26.6640625" bestFit="1" customWidth="1"/>
    <col min="19" max="19" width="31" bestFit="1" customWidth="1"/>
    <col min="20" max="20" width="30.33203125" bestFit="1" customWidth="1"/>
    <col min="21" max="21" width="26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s="41" t="s">
        <v>443</v>
      </c>
      <c r="B2" t="s">
        <v>28</v>
      </c>
      <c r="C2" t="s">
        <v>29</v>
      </c>
      <c r="D2" s="18" t="s">
        <v>444</v>
      </c>
      <c r="E2" s="10" t="s">
        <v>445</v>
      </c>
      <c r="F2" t="s">
        <v>279</v>
      </c>
      <c r="G2" t="s">
        <v>196</v>
      </c>
      <c r="H2">
        <v>14</v>
      </c>
      <c r="I2">
        <v>4</v>
      </c>
      <c r="J2">
        <v>2</v>
      </c>
      <c r="K2">
        <v>5</v>
      </c>
      <c r="L2">
        <v>0</v>
      </c>
      <c r="M2" s="41">
        <v>1</v>
      </c>
    </row>
    <row r="3" spans="1:21" x14ac:dyDescent="0.3">
      <c r="A3" s="41" t="s">
        <v>159</v>
      </c>
      <c r="B3" t="s">
        <v>28</v>
      </c>
      <c r="C3" t="s">
        <v>22</v>
      </c>
      <c r="D3" t="s">
        <v>160</v>
      </c>
      <c r="E3" t="s">
        <v>161</v>
      </c>
      <c r="F3" t="s">
        <v>162</v>
      </c>
      <c r="G3" t="s">
        <v>698</v>
      </c>
      <c r="H3">
        <v>13</v>
      </c>
      <c r="I3">
        <v>5</v>
      </c>
      <c r="J3">
        <v>2</v>
      </c>
      <c r="K3">
        <v>0</v>
      </c>
      <c r="L3">
        <v>0</v>
      </c>
      <c r="M3" s="41">
        <v>2</v>
      </c>
      <c r="O3">
        <v>6</v>
      </c>
      <c r="Q3">
        <v>3</v>
      </c>
      <c r="T3">
        <v>11</v>
      </c>
      <c r="U3" s="1"/>
    </row>
    <row r="4" spans="1:21" x14ac:dyDescent="0.3">
      <c r="A4" s="41" t="s">
        <v>488</v>
      </c>
      <c r="B4" t="s">
        <v>28</v>
      </c>
      <c r="C4" t="s">
        <v>29</v>
      </c>
      <c r="D4" t="s">
        <v>489</v>
      </c>
      <c r="E4" t="s">
        <v>490</v>
      </c>
      <c r="F4" t="s">
        <v>155</v>
      </c>
      <c r="G4" t="s">
        <v>492</v>
      </c>
      <c r="H4">
        <v>18</v>
      </c>
      <c r="I4">
        <v>6</v>
      </c>
      <c r="J4">
        <v>3</v>
      </c>
      <c r="K4">
        <v>0</v>
      </c>
      <c r="L4">
        <v>3</v>
      </c>
      <c r="M4" s="41">
        <v>2</v>
      </c>
      <c r="O4">
        <v>6</v>
      </c>
      <c r="Q4">
        <v>9</v>
      </c>
      <c r="T4">
        <v>19</v>
      </c>
      <c r="U4" s="1"/>
    </row>
    <row r="5" spans="1:21" x14ac:dyDescent="0.3">
      <c r="A5" s="41" t="s">
        <v>488</v>
      </c>
      <c r="B5" t="s">
        <v>28</v>
      </c>
      <c r="C5" t="s">
        <v>29</v>
      </c>
      <c r="D5" t="s">
        <v>489</v>
      </c>
      <c r="E5" t="s">
        <v>490</v>
      </c>
      <c r="F5" t="s">
        <v>155</v>
      </c>
      <c r="G5" t="s">
        <v>492</v>
      </c>
      <c r="H5">
        <v>0</v>
      </c>
      <c r="I5">
        <v>0</v>
      </c>
      <c r="J5">
        <v>0</v>
      </c>
      <c r="K5">
        <v>0</v>
      </c>
      <c r="L5">
        <v>0</v>
      </c>
      <c r="O5">
        <v>6</v>
      </c>
      <c r="Q5">
        <v>9</v>
      </c>
      <c r="T5">
        <v>19</v>
      </c>
      <c r="U5" s="1"/>
    </row>
    <row r="6" spans="1:21" x14ac:dyDescent="0.3">
      <c r="A6" t="s">
        <v>20</v>
      </c>
      <c r="B6" t="s">
        <v>21</v>
      </c>
      <c r="C6" t="s">
        <v>22</v>
      </c>
      <c r="D6" s="18" t="s">
        <v>23</v>
      </c>
      <c r="E6" s="10" t="s">
        <v>24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</row>
    <row r="7" spans="1:21" x14ac:dyDescent="0.3">
      <c r="A7" t="s">
        <v>27</v>
      </c>
      <c r="B7" t="s">
        <v>28</v>
      </c>
      <c r="C7" t="s">
        <v>29</v>
      </c>
      <c r="D7" s="18" t="s">
        <v>30</v>
      </c>
      <c r="E7" s="10" t="s">
        <v>31</v>
      </c>
      <c r="F7" t="s">
        <v>32</v>
      </c>
      <c r="G7" t="s">
        <v>33</v>
      </c>
      <c r="H7">
        <v>0</v>
      </c>
      <c r="I7">
        <v>0</v>
      </c>
      <c r="J7">
        <v>0</v>
      </c>
      <c r="K7">
        <v>0</v>
      </c>
      <c r="L7">
        <v>0</v>
      </c>
      <c r="O7">
        <v>10</v>
      </c>
    </row>
    <row r="8" spans="1:21" x14ac:dyDescent="0.3">
      <c r="A8" t="s">
        <v>27</v>
      </c>
      <c r="B8" t="s">
        <v>28</v>
      </c>
      <c r="C8" t="s">
        <v>29</v>
      </c>
      <c r="D8" s="18" t="s">
        <v>30</v>
      </c>
      <c r="E8" s="10" t="s">
        <v>31</v>
      </c>
      <c r="F8" t="s">
        <v>32</v>
      </c>
      <c r="G8" t="s">
        <v>34</v>
      </c>
      <c r="H8">
        <v>0</v>
      </c>
      <c r="I8">
        <v>0</v>
      </c>
      <c r="J8">
        <v>0</v>
      </c>
      <c r="K8">
        <v>0</v>
      </c>
      <c r="L8">
        <v>0</v>
      </c>
      <c r="O8">
        <v>11</v>
      </c>
    </row>
    <row r="9" spans="1:21" x14ac:dyDescent="0.3">
      <c r="A9" t="s">
        <v>35</v>
      </c>
      <c r="B9" t="s">
        <v>28</v>
      </c>
      <c r="C9" t="s">
        <v>29</v>
      </c>
      <c r="D9" t="s">
        <v>36</v>
      </c>
      <c r="E9" t="s">
        <v>37</v>
      </c>
      <c r="F9" t="s">
        <v>38</v>
      </c>
      <c r="G9" t="s">
        <v>39</v>
      </c>
      <c r="H9">
        <v>0</v>
      </c>
      <c r="I9">
        <v>0</v>
      </c>
      <c r="J9">
        <v>0</v>
      </c>
      <c r="K9">
        <v>0</v>
      </c>
      <c r="L9">
        <v>0</v>
      </c>
      <c r="Q9">
        <v>15</v>
      </c>
      <c r="T9">
        <v>25</v>
      </c>
      <c r="U9" s="1"/>
    </row>
    <row r="10" spans="1:21" x14ac:dyDescent="0.3">
      <c r="A10" s="2" t="s">
        <v>45</v>
      </c>
      <c r="B10" t="s">
        <v>21</v>
      </c>
      <c r="C10" t="s">
        <v>22</v>
      </c>
      <c r="D10" s="10" t="s">
        <v>41</v>
      </c>
      <c r="E10" s="10" t="s">
        <v>42</v>
      </c>
      <c r="F10" t="s">
        <v>43</v>
      </c>
      <c r="G10" t="s">
        <v>321</v>
      </c>
      <c r="H10">
        <v>0</v>
      </c>
      <c r="I10">
        <v>0</v>
      </c>
      <c r="J10">
        <v>0</v>
      </c>
      <c r="K10">
        <v>0</v>
      </c>
      <c r="L10">
        <v>0</v>
      </c>
      <c r="U10" s="1"/>
    </row>
    <row r="11" spans="1:21" x14ac:dyDescent="0.3">
      <c r="A11" s="2" t="s">
        <v>45</v>
      </c>
      <c r="B11" t="s">
        <v>21</v>
      </c>
      <c r="C11" t="s">
        <v>22</v>
      </c>
      <c r="D11" s="10" t="s">
        <v>41</v>
      </c>
      <c r="E11" s="10" t="s">
        <v>42</v>
      </c>
      <c r="F11" t="s">
        <v>43</v>
      </c>
      <c r="G11" t="s">
        <v>695</v>
      </c>
      <c r="H11">
        <v>0</v>
      </c>
      <c r="I11">
        <v>0</v>
      </c>
      <c r="J11">
        <v>0</v>
      </c>
      <c r="K11">
        <v>0</v>
      </c>
      <c r="L11">
        <v>0</v>
      </c>
      <c r="U11" s="1"/>
    </row>
    <row r="12" spans="1:21" x14ac:dyDescent="0.3">
      <c r="A12" s="2" t="s">
        <v>45</v>
      </c>
      <c r="B12" t="s">
        <v>21</v>
      </c>
      <c r="C12" t="s">
        <v>22</v>
      </c>
      <c r="D12" s="10" t="s">
        <v>41</v>
      </c>
      <c r="E12" s="10" t="s">
        <v>42</v>
      </c>
      <c r="F12" t="s">
        <v>43</v>
      </c>
      <c r="G12" t="s">
        <v>86</v>
      </c>
      <c r="H12">
        <v>0</v>
      </c>
      <c r="I12">
        <v>0</v>
      </c>
      <c r="J12">
        <v>0</v>
      </c>
      <c r="K12">
        <v>0</v>
      </c>
      <c r="L12">
        <v>0</v>
      </c>
      <c r="U12" s="1"/>
    </row>
    <row r="13" spans="1:21" x14ac:dyDescent="0.3">
      <c r="A13" t="s">
        <v>45</v>
      </c>
      <c r="B13" t="s">
        <v>21</v>
      </c>
      <c r="C13" t="s">
        <v>22</v>
      </c>
      <c r="D13" s="10" t="s">
        <v>41</v>
      </c>
      <c r="E13" s="10" t="s">
        <v>42</v>
      </c>
      <c r="F13" t="s">
        <v>43</v>
      </c>
      <c r="G13" t="s">
        <v>46</v>
      </c>
      <c r="H13">
        <v>0</v>
      </c>
      <c r="I13">
        <v>0</v>
      </c>
      <c r="J13">
        <v>0</v>
      </c>
      <c r="K13">
        <v>0</v>
      </c>
      <c r="L13">
        <v>0</v>
      </c>
      <c r="O13">
        <v>4</v>
      </c>
      <c r="U13" s="1"/>
    </row>
    <row r="14" spans="1:21" x14ac:dyDescent="0.3">
      <c r="A14" t="s">
        <v>47</v>
      </c>
      <c r="B14" t="s">
        <v>21</v>
      </c>
      <c r="C14" t="s">
        <v>22</v>
      </c>
      <c r="D14" t="s">
        <v>48</v>
      </c>
      <c r="E14" t="s">
        <v>49</v>
      </c>
      <c r="F14" t="s">
        <v>50</v>
      </c>
      <c r="G14" t="s">
        <v>51</v>
      </c>
      <c r="H14">
        <v>0</v>
      </c>
      <c r="I14">
        <v>0</v>
      </c>
      <c r="J14">
        <v>0</v>
      </c>
      <c r="K14">
        <v>0</v>
      </c>
      <c r="L14">
        <v>0</v>
      </c>
      <c r="Q14">
        <v>18</v>
      </c>
      <c r="T14">
        <v>14</v>
      </c>
      <c r="U14" s="1"/>
    </row>
    <row r="15" spans="1:21" x14ac:dyDescent="0.3">
      <c r="A15" t="s">
        <v>52</v>
      </c>
      <c r="B15" t="s">
        <v>53</v>
      </c>
      <c r="C15" t="s">
        <v>29</v>
      </c>
      <c r="D15" s="10" t="s">
        <v>54</v>
      </c>
      <c r="E15" s="10" t="s">
        <v>55</v>
      </c>
      <c r="F15" t="s">
        <v>56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21" x14ac:dyDescent="0.3">
      <c r="A16" t="s">
        <v>58</v>
      </c>
      <c r="B16" t="s">
        <v>21</v>
      </c>
      <c r="C16" t="s">
        <v>29</v>
      </c>
      <c r="D16" s="18" t="s">
        <v>59</v>
      </c>
      <c r="E16" s="10" t="s">
        <v>60</v>
      </c>
      <c r="F16" t="s">
        <v>25</v>
      </c>
      <c r="G16" t="s">
        <v>61</v>
      </c>
      <c r="H16">
        <v>0</v>
      </c>
      <c r="I16">
        <v>0</v>
      </c>
      <c r="J16">
        <v>0</v>
      </c>
      <c r="K16">
        <v>0</v>
      </c>
      <c r="L16">
        <v>0</v>
      </c>
      <c r="O16">
        <v>6</v>
      </c>
      <c r="P16">
        <v>10</v>
      </c>
      <c r="U16" s="1"/>
    </row>
    <row r="17" spans="1:21" x14ac:dyDescent="0.3">
      <c r="A17" s="10" t="s">
        <v>62</v>
      </c>
      <c r="B17" t="s">
        <v>21</v>
      </c>
      <c r="C17" t="s">
        <v>22</v>
      </c>
      <c r="D17" s="18" t="s">
        <v>63</v>
      </c>
      <c r="E17" s="10" t="s">
        <v>64</v>
      </c>
      <c r="F17" t="s">
        <v>65</v>
      </c>
      <c r="G17" t="s">
        <v>66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21" x14ac:dyDescent="0.3">
      <c r="A18" t="s">
        <v>67</v>
      </c>
      <c r="B18" t="s">
        <v>21</v>
      </c>
      <c r="C18" t="s">
        <v>22</v>
      </c>
      <c r="D18" s="18" t="s">
        <v>68</v>
      </c>
      <c r="E18" s="10" t="s">
        <v>69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21" x14ac:dyDescent="0.3">
      <c r="A19" t="s">
        <v>70</v>
      </c>
      <c r="B19" t="s">
        <v>53</v>
      </c>
      <c r="C19" t="s">
        <v>29</v>
      </c>
      <c r="D19" t="s">
        <v>71</v>
      </c>
      <c r="E19" t="s">
        <v>72</v>
      </c>
      <c r="F19" t="s">
        <v>56</v>
      </c>
      <c r="G19" t="s">
        <v>73</v>
      </c>
      <c r="H19">
        <v>0</v>
      </c>
      <c r="I19">
        <v>0</v>
      </c>
      <c r="J19">
        <v>0</v>
      </c>
      <c r="K19">
        <v>0</v>
      </c>
      <c r="L19">
        <v>0</v>
      </c>
      <c r="Q19">
        <v>20</v>
      </c>
      <c r="T19">
        <v>15</v>
      </c>
      <c r="U19" s="1"/>
    </row>
    <row r="20" spans="1:21" x14ac:dyDescent="0.3">
      <c r="A20" t="s">
        <v>74</v>
      </c>
      <c r="B20" t="s">
        <v>21</v>
      </c>
      <c r="D20" t="s">
        <v>75</v>
      </c>
      <c r="E20" s="10" t="s">
        <v>76</v>
      </c>
      <c r="F20" t="s">
        <v>32</v>
      </c>
      <c r="G20" t="s">
        <v>77</v>
      </c>
      <c r="H20">
        <v>0</v>
      </c>
      <c r="I20">
        <v>0</v>
      </c>
      <c r="J20">
        <v>0</v>
      </c>
      <c r="K20">
        <v>0</v>
      </c>
      <c r="L20">
        <v>0</v>
      </c>
      <c r="U20" s="1"/>
    </row>
    <row r="21" spans="1:21" x14ac:dyDescent="0.3">
      <c r="A21" t="s">
        <v>78</v>
      </c>
      <c r="B21" t="s">
        <v>53</v>
      </c>
      <c r="D21" s="18" t="s">
        <v>79</v>
      </c>
      <c r="E21" s="10" t="s">
        <v>80</v>
      </c>
      <c r="F21" t="s">
        <v>81</v>
      </c>
      <c r="G21" t="s">
        <v>82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21" x14ac:dyDescent="0.3">
      <c r="A22" t="s">
        <v>83</v>
      </c>
      <c r="B22" t="s">
        <v>21</v>
      </c>
      <c r="C22" t="s">
        <v>22</v>
      </c>
      <c r="D22" s="18" t="s">
        <v>84</v>
      </c>
      <c r="E22" s="10" t="s">
        <v>85</v>
      </c>
      <c r="F22" t="s">
        <v>25</v>
      </c>
      <c r="G22" t="s">
        <v>86</v>
      </c>
      <c r="H22">
        <v>0</v>
      </c>
      <c r="I22">
        <v>0</v>
      </c>
      <c r="J22">
        <v>0</v>
      </c>
      <c r="K22">
        <v>0</v>
      </c>
      <c r="L22">
        <v>0</v>
      </c>
      <c r="O22">
        <v>2</v>
      </c>
      <c r="U22" s="1"/>
    </row>
    <row r="23" spans="1:21" x14ac:dyDescent="0.3">
      <c r="A23" t="s">
        <v>87</v>
      </c>
      <c r="B23" t="s">
        <v>21</v>
      </c>
      <c r="C23" t="s">
        <v>22</v>
      </c>
      <c r="D23" s="18" t="s">
        <v>84</v>
      </c>
      <c r="E23" s="10" t="s">
        <v>85</v>
      </c>
      <c r="F23" t="s">
        <v>25</v>
      </c>
      <c r="G23" t="s">
        <v>88</v>
      </c>
      <c r="H23">
        <v>0</v>
      </c>
      <c r="I23">
        <v>0</v>
      </c>
      <c r="J23">
        <v>0</v>
      </c>
      <c r="K23">
        <v>0</v>
      </c>
      <c r="L23">
        <v>0</v>
      </c>
      <c r="O23">
        <v>7</v>
      </c>
      <c r="U23" s="1"/>
    </row>
    <row r="24" spans="1:21" x14ac:dyDescent="0.3">
      <c r="A24" t="s">
        <v>89</v>
      </c>
      <c r="B24" t="s">
        <v>21</v>
      </c>
      <c r="C24" t="s">
        <v>22</v>
      </c>
      <c r="D24" t="s">
        <v>90</v>
      </c>
      <c r="E24" s="10" t="s">
        <v>91</v>
      </c>
      <c r="F24" t="s">
        <v>92</v>
      </c>
      <c r="G24" t="s">
        <v>93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21" x14ac:dyDescent="0.3">
      <c r="A25" t="s">
        <v>89</v>
      </c>
      <c r="B25" t="s">
        <v>21</v>
      </c>
      <c r="C25" t="s">
        <v>22</v>
      </c>
      <c r="D25" t="s">
        <v>90</v>
      </c>
      <c r="E25" s="10" t="s">
        <v>91</v>
      </c>
      <c r="F25" t="s">
        <v>92</v>
      </c>
      <c r="G25" t="s">
        <v>94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21" x14ac:dyDescent="0.3">
      <c r="A26" t="s">
        <v>95</v>
      </c>
      <c r="B26" t="s">
        <v>21</v>
      </c>
      <c r="C26" t="s">
        <v>22</v>
      </c>
      <c r="D26" s="18" t="s">
        <v>96</v>
      </c>
      <c r="E26" s="10" t="s">
        <v>97</v>
      </c>
      <c r="F26" t="s">
        <v>25</v>
      </c>
      <c r="G26" t="s">
        <v>98</v>
      </c>
      <c r="H26">
        <v>0</v>
      </c>
      <c r="I26">
        <v>0</v>
      </c>
      <c r="J26">
        <v>0</v>
      </c>
      <c r="K26">
        <v>0</v>
      </c>
      <c r="L26">
        <v>0</v>
      </c>
      <c r="P26">
        <v>11</v>
      </c>
      <c r="U26" s="1"/>
    </row>
    <row r="27" spans="1:21" x14ac:dyDescent="0.3">
      <c r="A27" t="s">
        <v>99</v>
      </c>
      <c r="B27" t="s">
        <v>53</v>
      </c>
      <c r="C27" t="s">
        <v>22</v>
      </c>
      <c r="D27" t="s">
        <v>100</v>
      </c>
      <c r="E27" t="s">
        <v>101</v>
      </c>
      <c r="F27" t="s">
        <v>56</v>
      </c>
      <c r="G27" t="s">
        <v>102</v>
      </c>
      <c r="H27">
        <v>0</v>
      </c>
      <c r="I27">
        <v>0</v>
      </c>
      <c r="J27">
        <v>0</v>
      </c>
      <c r="K27">
        <v>0</v>
      </c>
      <c r="L27">
        <v>0</v>
      </c>
      <c r="Q27">
        <v>6</v>
      </c>
      <c r="T27">
        <v>5</v>
      </c>
      <c r="U27" s="1"/>
    </row>
    <row r="28" spans="1:21" x14ac:dyDescent="0.3">
      <c r="A28" t="s">
        <v>103</v>
      </c>
      <c r="B28" t="s">
        <v>28</v>
      </c>
      <c r="C28" t="s">
        <v>22</v>
      </c>
      <c r="D28" s="18" t="s">
        <v>104</v>
      </c>
      <c r="E28" s="10" t="s">
        <v>105</v>
      </c>
      <c r="F28" t="s">
        <v>43</v>
      </c>
      <c r="G28" t="s">
        <v>106</v>
      </c>
      <c r="H28">
        <v>0</v>
      </c>
      <c r="I28">
        <v>0</v>
      </c>
      <c r="J28">
        <v>0</v>
      </c>
      <c r="K28">
        <v>0</v>
      </c>
      <c r="L28">
        <v>0</v>
      </c>
      <c r="O28">
        <v>6</v>
      </c>
    </row>
    <row r="29" spans="1:21" x14ac:dyDescent="0.3">
      <c r="A29" s="2" t="s">
        <v>107</v>
      </c>
      <c r="B29" t="s">
        <v>21</v>
      </c>
      <c r="C29" t="s">
        <v>22</v>
      </c>
      <c r="D29" t="s">
        <v>108</v>
      </c>
      <c r="E29" t="s">
        <v>109</v>
      </c>
      <c r="F29" t="s">
        <v>110</v>
      </c>
      <c r="G29" t="s">
        <v>111</v>
      </c>
      <c r="H29">
        <v>0</v>
      </c>
      <c r="I29">
        <v>0</v>
      </c>
      <c r="J29">
        <v>0</v>
      </c>
      <c r="K29">
        <v>0</v>
      </c>
      <c r="L29">
        <v>0</v>
      </c>
      <c r="Q29">
        <v>17</v>
      </c>
      <c r="T29">
        <v>11</v>
      </c>
      <c r="U29" s="1"/>
    </row>
    <row r="30" spans="1:21" x14ac:dyDescent="0.3">
      <c r="A30" t="s">
        <v>112</v>
      </c>
      <c r="B30" t="s">
        <v>113</v>
      </c>
      <c r="C30" t="s">
        <v>22</v>
      </c>
      <c r="D30" t="s">
        <v>114</v>
      </c>
      <c r="E30" t="s">
        <v>115</v>
      </c>
      <c r="F30" t="s">
        <v>92</v>
      </c>
      <c r="G30" t="s">
        <v>116</v>
      </c>
      <c r="H30">
        <v>0</v>
      </c>
      <c r="I30">
        <v>0</v>
      </c>
      <c r="J30">
        <v>0</v>
      </c>
      <c r="K30">
        <v>0</v>
      </c>
      <c r="L30">
        <v>0</v>
      </c>
      <c r="Q30">
        <v>4</v>
      </c>
      <c r="T30">
        <v>14</v>
      </c>
      <c r="U30" s="1"/>
    </row>
    <row r="31" spans="1:21" x14ac:dyDescent="0.3">
      <c r="A31" t="s">
        <v>117</v>
      </c>
      <c r="B31" t="s">
        <v>28</v>
      </c>
      <c r="D31" s="18" t="s">
        <v>118</v>
      </c>
      <c r="E31" s="10" t="s">
        <v>119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21" x14ac:dyDescent="0.3">
      <c r="A32" t="s">
        <v>120</v>
      </c>
      <c r="B32" t="s">
        <v>28</v>
      </c>
      <c r="C32" t="s">
        <v>22</v>
      </c>
      <c r="D32" s="18" t="s">
        <v>121</v>
      </c>
      <c r="E32" s="10" t="s">
        <v>122</v>
      </c>
      <c r="F32" t="s">
        <v>32</v>
      </c>
      <c r="G32" t="s">
        <v>123</v>
      </c>
      <c r="H32">
        <v>0</v>
      </c>
      <c r="I32">
        <v>0</v>
      </c>
      <c r="J32">
        <v>0</v>
      </c>
      <c r="K32">
        <v>0</v>
      </c>
      <c r="L32">
        <v>0</v>
      </c>
      <c r="O32">
        <v>11</v>
      </c>
    </row>
    <row r="33" spans="1:21" x14ac:dyDescent="0.3">
      <c r="A33" t="s">
        <v>124</v>
      </c>
      <c r="B33" t="s">
        <v>28</v>
      </c>
      <c r="C33" t="s">
        <v>22</v>
      </c>
      <c r="D33" s="18" t="s">
        <v>121</v>
      </c>
      <c r="E33" s="10" t="s">
        <v>122</v>
      </c>
      <c r="F33" t="s">
        <v>32</v>
      </c>
      <c r="G33" t="s">
        <v>34</v>
      </c>
      <c r="H33">
        <v>0</v>
      </c>
      <c r="I33">
        <v>0</v>
      </c>
      <c r="J33">
        <v>0</v>
      </c>
      <c r="K33">
        <v>0</v>
      </c>
      <c r="L33">
        <v>0</v>
      </c>
      <c r="O33">
        <v>11</v>
      </c>
    </row>
    <row r="34" spans="1:21" x14ac:dyDescent="0.3">
      <c r="A34" s="7" t="s">
        <v>125</v>
      </c>
      <c r="B34" t="s">
        <v>28</v>
      </c>
      <c r="C34" t="s">
        <v>22</v>
      </c>
      <c r="D34" s="18" t="s">
        <v>126</v>
      </c>
      <c r="E34" s="10" t="s">
        <v>127</v>
      </c>
      <c r="F34" t="s">
        <v>32</v>
      </c>
      <c r="G34" t="s">
        <v>128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21" x14ac:dyDescent="0.3">
      <c r="A35" t="s">
        <v>129</v>
      </c>
      <c r="B35" t="s">
        <v>21</v>
      </c>
      <c r="C35" t="s">
        <v>22</v>
      </c>
      <c r="D35" s="18" t="s">
        <v>130</v>
      </c>
      <c r="E35" s="10" t="s">
        <v>131</v>
      </c>
      <c r="F35" t="s">
        <v>32</v>
      </c>
      <c r="G35" t="s">
        <v>132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21" x14ac:dyDescent="0.3">
      <c r="A36" t="s">
        <v>129</v>
      </c>
      <c r="B36" t="s">
        <v>21</v>
      </c>
      <c r="C36" t="s">
        <v>22</v>
      </c>
      <c r="D36" s="18" t="s">
        <v>130</v>
      </c>
      <c r="E36" s="10" t="s">
        <v>131</v>
      </c>
      <c r="F36" t="s">
        <v>32</v>
      </c>
      <c r="G36" t="s">
        <v>133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21" x14ac:dyDescent="0.3">
      <c r="A37" t="s">
        <v>134</v>
      </c>
      <c r="B37" t="s">
        <v>28</v>
      </c>
      <c r="C37" t="s">
        <v>29</v>
      </c>
      <c r="D37" t="s">
        <v>135</v>
      </c>
      <c r="E37" t="s">
        <v>136</v>
      </c>
      <c r="F37" t="s">
        <v>137</v>
      </c>
      <c r="G37" t="s">
        <v>138</v>
      </c>
      <c r="H37">
        <v>0</v>
      </c>
      <c r="I37">
        <v>0</v>
      </c>
      <c r="J37">
        <v>0</v>
      </c>
      <c r="K37">
        <v>0</v>
      </c>
      <c r="L37">
        <v>0</v>
      </c>
      <c r="O37">
        <v>8</v>
      </c>
      <c r="Q37">
        <v>6</v>
      </c>
      <c r="T37">
        <v>14</v>
      </c>
      <c r="U37" s="1"/>
    </row>
    <row r="38" spans="1:21" x14ac:dyDescent="0.3">
      <c r="A38" t="s">
        <v>139</v>
      </c>
      <c r="B38" t="s">
        <v>21</v>
      </c>
      <c r="C38" t="s">
        <v>22</v>
      </c>
      <c r="D38" t="s">
        <v>140</v>
      </c>
      <c r="E38" t="s">
        <v>141</v>
      </c>
      <c r="F38" t="s">
        <v>142</v>
      </c>
      <c r="G38" t="s">
        <v>143</v>
      </c>
      <c r="H38">
        <v>0</v>
      </c>
      <c r="I38">
        <v>0</v>
      </c>
      <c r="J38">
        <v>0</v>
      </c>
      <c r="K38">
        <v>0</v>
      </c>
      <c r="L38">
        <v>0</v>
      </c>
      <c r="Q38">
        <v>5</v>
      </c>
      <c r="T38">
        <v>13</v>
      </c>
      <c r="U38" s="1"/>
    </row>
    <row r="39" spans="1:21" x14ac:dyDescent="0.3">
      <c r="A39" t="s">
        <v>139</v>
      </c>
      <c r="B39" t="s">
        <v>21</v>
      </c>
      <c r="C39" t="s">
        <v>22</v>
      </c>
      <c r="D39" t="s">
        <v>140</v>
      </c>
      <c r="E39" t="s">
        <v>141</v>
      </c>
      <c r="F39" t="s">
        <v>142</v>
      </c>
      <c r="G39" t="s">
        <v>144</v>
      </c>
      <c r="H39">
        <v>0</v>
      </c>
      <c r="I39">
        <v>0</v>
      </c>
      <c r="J39">
        <v>0</v>
      </c>
      <c r="K39">
        <v>0</v>
      </c>
      <c r="L39">
        <v>0</v>
      </c>
      <c r="Q39">
        <v>8</v>
      </c>
      <c r="T39">
        <v>16</v>
      </c>
      <c r="U39" s="1"/>
    </row>
    <row r="40" spans="1:21" x14ac:dyDescent="0.3">
      <c r="A40" t="s">
        <v>139</v>
      </c>
      <c r="B40" t="s">
        <v>21</v>
      </c>
      <c r="C40" t="s">
        <v>22</v>
      </c>
      <c r="D40" t="s">
        <v>140</v>
      </c>
      <c r="E40" t="s">
        <v>141</v>
      </c>
      <c r="F40" t="s">
        <v>142</v>
      </c>
      <c r="G40" t="s">
        <v>145</v>
      </c>
      <c r="H40">
        <v>0</v>
      </c>
      <c r="I40">
        <v>0</v>
      </c>
      <c r="J40">
        <v>0</v>
      </c>
      <c r="K40">
        <v>0</v>
      </c>
      <c r="L40">
        <v>0</v>
      </c>
      <c r="Q40">
        <v>9</v>
      </c>
      <c r="T40">
        <v>10</v>
      </c>
      <c r="U40" s="1"/>
    </row>
    <row r="41" spans="1:21" x14ac:dyDescent="0.3">
      <c r="A41" t="s">
        <v>146</v>
      </c>
      <c r="B41" t="s">
        <v>21</v>
      </c>
      <c r="C41" t="s">
        <v>29</v>
      </c>
      <c r="D41" t="s">
        <v>147</v>
      </c>
      <c r="E41" t="s">
        <v>148</v>
      </c>
      <c r="F41" t="s">
        <v>25</v>
      </c>
      <c r="G41" t="s">
        <v>149</v>
      </c>
      <c r="H41">
        <v>0</v>
      </c>
      <c r="I41">
        <v>0</v>
      </c>
      <c r="J41">
        <v>0</v>
      </c>
      <c r="K41">
        <v>0</v>
      </c>
      <c r="L41">
        <v>0</v>
      </c>
      <c r="O41">
        <v>23</v>
      </c>
      <c r="Q41">
        <v>23</v>
      </c>
      <c r="R41">
        <v>15.5</v>
      </c>
      <c r="S41">
        <v>22.5</v>
      </c>
      <c r="T41">
        <v>16.5</v>
      </c>
      <c r="U41" s="1"/>
    </row>
    <row r="42" spans="1:21" x14ac:dyDescent="0.3">
      <c r="A42" s="2" t="s">
        <v>146</v>
      </c>
      <c r="B42" t="s">
        <v>21</v>
      </c>
      <c r="C42" t="s">
        <v>29</v>
      </c>
      <c r="D42" t="s">
        <v>147</v>
      </c>
      <c r="E42" t="s">
        <v>148</v>
      </c>
      <c r="F42" t="s">
        <v>25</v>
      </c>
      <c r="G42" t="s">
        <v>150</v>
      </c>
      <c r="H42">
        <v>0</v>
      </c>
      <c r="I42">
        <v>0</v>
      </c>
      <c r="J42">
        <v>0</v>
      </c>
      <c r="K42">
        <v>0</v>
      </c>
      <c r="L42">
        <v>0</v>
      </c>
      <c r="O42">
        <v>25</v>
      </c>
      <c r="Q42">
        <v>19</v>
      </c>
      <c r="R42">
        <v>11</v>
      </c>
      <c r="S42">
        <v>18.5</v>
      </c>
      <c r="T42">
        <v>12.5</v>
      </c>
      <c r="U42" s="1"/>
    </row>
    <row r="43" spans="1:21" x14ac:dyDescent="0.3">
      <c r="A43" t="s">
        <v>146</v>
      </c>
      <c r="B43" t="s">
        <v>21</v>
      </c>
      <c r="C43" t="s">
        <v>29</v>
      </c>
      <c r="D43" t="s">
        <v>147</v>
      </c>
      <c r="E43" t="s">
        <v>148</v>
      </c>
      <c r="F43" t="s">
        <v>25</v>
      </c>
      <c r="G43" t="s">
        <v>151</v>
      </c>
      <c r="H43">
        <v>0</v>
      </c>
      <c r="I43">
        <v>0</v>
      </c>
      <c r="J43">
        <v>0</v>
      </c>
      <c r="K43">
        <v>0</v>
      </c>
      <c r="L43">
        <v>0</v>
      </c>
      <c r="Q43">
        <v>10.5</v>
      </c>
      <c r="R43">
        <v>6.5</v>
      </c>
      <c r="S43">
        <v>11.5</v>
      </c>
      <c r="T43">
        <v>6.5</v>
      </c>
      <c r="U43" s="1"/>
    </row>
    <row r="44" spans="1:21" x14ac:dyDescent="0.3">
      <c r="A44" t="s">
        <v>152</v>
      </c>
      <c r="B44" t="s">
        <v>28</v>
      </c>
      <c r="C44" t="s">
        <v>22</v>
      </c>
      <c r="D44" t="s">
        <v>153</v>
      </c>
      <c r="E44" t="s">
        <v>154</v>
      </c>
      <c r="F44" t="s">
        <v>155</v>
      </c>
      <c r="G44" t="s">
        <v>156</v>
      </c>
      <c r="H44">
        <v>0</v>
      </c>
      <c r="I44">
        <v>0</v>
      </c>
      <c r="J44">
        <v>0</v>
      </c>
      <c r="K44">
        <v>0</v>
      </c>
      <c r="L44">
        <v>0</v>
      </c>
      <c r="O44">
        <v>5</v>
      </c>
      <c r="Q44">
        <v>10</v>
      </c>
      <c r="T44">
        <v>2</v>
      </c>
      <c r="U44" s="1"/>
    </row>
    <row r="45" spans="1:21" x14ac:dyDescent="0.3">
      <c r="A45" t="s">
        <v>157</v>
      </c>
      <c r="B45" t="s">
        <v>53</v>
      </c>
      <c r="C45" t="s">
        <v>22</v>
      </c>
      <c r="D45" t="s">
        <v>153</v>
      </c>
      <c r="E45" t="s">
        <v>154</v>
      </c>
      <c r="F45" t="s">
        <v>56</v>
      </c>
      <c r="G45" t="s">
        <v>158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21" x14ac:dyDescent="0.3">
      <c r="A46" t="s">
        <v>164</v>
      </c>
      <c r="B46" t="s">
        <v>28</v>
      </c>
      <c r="C46" t="s">
        <v>22</v>
      </c>
      <c r="D46" t="s">
        <v>165</v>
      </c>
      <c r="E46" t="s">
        <v>166</v>
      </c>
      <c r="F46" t="s">
        <v>32</v>
      </c>
      <c r="G46" t="s">
        <v>167</v>
      </c>
      <c r="H46">
        <v>0</v>
      </c>
      <c r="I46">
        <v>0</v>
      </c>
      <c r="J46">
        <v>0</v>
      </c>
      <c r="K46">
        <v>0</v>
      </c>
      <c r="L46">
        <v>0</v>
      </c>
      <c r="Q46">
        <v>12</v>
      </c>
      <c r="T46">
        <v>5</v>
      </c>
      <c r="U46" s="1"/>
    </row>
    <row r="47" spans="1:21" x14ac:dyDescent="0.3">
      <c r="A47" t="s">
        <v>164</v>
      </c>
      <c r="B47" t="s">
        <v>53</v>
      </c>
      <c r="C47" t="s">
        <v>22</v>
      </c>
      <c r="D47" t="s">
        <v>165</v>
      </c>
      <c r="E47" t="s">
        <v>166</v>
      </c>
      <c r="F47" t="s">
        <v>32</v>
      </c>
      <c r="G47" t="s">
        <v>168</v>
      </c>
      <c r="H47">
        <v>0</v>
      </c>
      <c r="I47">
        <v>0</v>
      </c>
      <c r="J47">
        <v>0</v>
      </c>
      <c r="K47">
        <v>0</v>
      </c>
      <c r="L47">
        <v>0</v>
      </c>
      <c r="Q47">
        <v>7.5</v>
      </c>
      <c r="R47">
        <v>5</v>
      </c>
      <c r="S47">
        <v>9.5</v>
      </c>
      <c r="T47">
        <v>3.5</v>
      </c>
    </row>
    <row r="48" spans="1:21" x14ac:dyDescent="0.3">
      <c r="A48" t="s">
        <v>164</v>
      </c>
      <c r="B48" t="s">
        <v>53</v>
      </c>
      <c r="C48" t="s">
        <v>22</v>
      </c>
      <c r="D48" t="s">
        <v>165</v>
      </c>
      <c r="E48" t="s">
        <v>166</v>
      </c>
      <c r="F48" t="s">
        <v>32</v>
      </c>
      <c r="G48" t="s">
        <v>169</v>
      </c>
      <c r="H48">
        <v>0</v>
      </c>
      <c r="I48">
        <v>0</v>
      </c>
      <c r="J48">
        <v>0</v>
      </c>
      <c r="K48">
        <v>0</v>
      </c>
      <c r="L48">
        <v>0</v>
      </c>
      <c r="Q48">
        <v>9.5</v>
      </c>
      <c r="R48">
        <v>3</v>
      </c>
      <c r="S48">
        <v>9.5</v>
      </c>
      <c r="T48">
        <v>3.5</v>
      </c>
    </row>
    <row r="49" spans="1:21" x14ac:dyDescent="0.3">
      <c r="A49" t="s">
        <v>164</v>
      </c>
      <c r="B49" t="s">
        <v>53</v>
      </c>
      <c r="C49" t="s">
        <v>22</v>
      </c>
      <c r="D49" t="s">
        <v>165</v>
      </c>
      <c r="E49" t="s">
        <v>166</v>
      </c>
      <c r="F49" t="s">
        <v>32</v>
      </c>
      <c r="G49" t="s">
        <v>167</v>
      </c>
      <c r="H49">
        <v>0</v>
      </c>
      <c r="I49">
        <v>0</v>
      </c>
      <c r="J49">
        <v>0</v>
      </c>
      <c r="K49">
        <v>0</v>
      </c>
      <c r="L49">
        <v>0</v>
      </c>
      <c r="Q49">
        <v>10</v>
      </c>
      <c r="R49">
        <v>3.5</v>
      </c>
      <c r="S49">
        <v>10</v>
      </c>
      <c r="T49">
        <v>4.5</v>
      </c>
    </row>
    <row r="50" spans="1:21" x14ac:dyDescent="0.3">
      <c r="A50" t="s">
        <v>170</v>
      </c>
      <c r="B50" t="s">
        <v>113</v>
      </c>
      <c r="D50" t="s">
        <v>171</v>
      </c>
      <c r="E50" t="s">
        <v>172</v>
      </c>
      <c r="F50" t="s">
        <v>56</v>
      </c>
      <c r="G50" t="s">
        <v>173</v>
      </c>
      <c r="H50">
        <v>0</v>
      </c>
      <c r="I50">
        <v>0</v>
      </c>
      <c r="J50">
        <v>0</v>
      </c>
      <c r="K50">
        <v>0</v>
      </c>
      <c r="L50">
        <v>0</v>
      </c>
      <c r="Q50">
        <v>7</v>
      </c>
      <c r="T50">
        <v>4</v>
      </c>
      <c r="U50" s="1"/>
    </row>
    <row r="51" spans="1:21" x14ac:dyDescent="0.3">
      <c r="A51" t="s">
        <v>170</v>
      </c>
      <c r="B51" t="s">
        <v>53</v>
      </c>
      <c r="D51" t="s">
        <v>171</v>
      </c>
      <c r="E51" t="s">
        <v>172</v>
      </c>
      <c r="F51" t="s">
        <v>56</v>
      </c>
      <c r="G51" t="s">
        <v>174</v>
      </c>
      <c r="H51">
        <v>0</v>
      </c>
      <c r="I51">
        <v>0</v>
      </c>
      <c r="J51">
        <v>0</v>
      </c>
      <c r="K51">
        <v>0</v>
      </c>
      <c r="L51">
        <v>0</v>
      </c>
      <c r="Q51">
        <v>6</v>
      </c>
      <c r="R51">
        <v>8</v>
      </c>
      <c r="S51">
        <v>1.5</v>
      </c>
      <c r="T51">
        <v>5.5</v>
      </c>
    </row>
    <row r="52" spans="1:21" x14ac:dyDescent="0.3">
      <c r="A52" t="s">
        <v>170</v>
      </c>
      <c r="B52" t="s">
        <v>53</v>
      </c>
      <c r="C52" t="s">
        <v>175</v>
      </c>
      <c r="D52" t="s">
        <v>171</v>
      </c>
      <c r="E52" t="s">
        <v>172</v>
      </c>
      <c r="F52" t="s">
        <v>56</v>
      </c>
      <c r="G52" t="s">
        <v>173</v>
      </c>
      <c r="H52">
        <v>0</v>
      </c>
      <c r="I52">
        <v>0</v>
      </c>
      <c r="J52">
        <v>0</v>
      </c>
      <c r="K52">
        <v>0</v>
      </c>
      <c r="L52">
        <v>0</v>
      </c>
      <c r="Q52">
        <v>6.5</v>
      </c>
      <c r="R52">
        <v>5</v>
      </c>
      <c r="S52">
        <v>9</v>
      </c>
      <c r="T52">
        <v>3.5</v>
      </c>
    </row>
    <row r="53" spans="1:21" x14ac:dyDescent="0.3">
      <c r="A53" t="s">
        <v>176</v>
      </c>
      <c r="B53" t="s">
        <v>28</v>
      </c>
      <c r="C53" t="s">
        <v>22</v>
      </c>
      <c r="D53" s="18" t="s">
        <v>177</v>
      </c>
      <c r="E53" s="10" t="s">
        <v>178</v>
      </c>
      <c r="F53" t="s">
        <v>38</v>
      </c>
      <c r="G53" t="s">
        <v>179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21" x14ac:dyDescent="0.3">
      <c r="A54" t="s">
        <v>180</v>
      </c>
      <c r="B54" t="s">
        <v>21</v>
      </c>
      <c r="C54" t="s">
        <v>22</v>
      </c>
      <c r="D54" s="18" t="s">
        <v>181</v>
      </c>
      <c r="E54" s="10" t="s">
        <v>182</v>
      </c>
      <c r="F54" t="s">
        <v>92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21" x14ac:dyDescent="0.3">
      <c r="A55" t="s">
        <v>183</v>
      </c>
      <c r="B55" t="s">
        <v>28</v>
      </c>
      <c r="C55" t="s">
        <v>22</v>
      </c>
      <c r="D55" t="s">
        <v>184</v>
      </c>
      <c r="E55" t="s">
        <v>185</v>
      </c>
      <c r="F55" t="s">
        <v>186</v>
      </c>
      <c r="G55" t="s">
        <v>187</v>
      </c>
      <c r="H55">
        <v>0</v>
      </c>
      <c r="I55">
        <v>0</v>
      </c>
      <c r="J55">
        <v>0</v>
      </c>
      <c r="K55">
        <v>0</v>
      </c>
      <c r="L55">
        <v>0</v>
      </c>
      <c r="U55" s="1"/>
    </row>
    <row r="56" spans="1:21" x14ac:dyDescent="0.3">
      <c r="A56" t="s">
        <v>188</v>
      </c>
      <c r="B56" t="s">
        <v>21</v>
      </c>
      <c r="C56" t="s">
        <v>22</v>
      </c>
      <c r="D56" t="s">
        <v>189</v>
      </c>
      <c r="E56" t="s">
        <v>190</v>
      </c>
      <c r="F56" t="s">
        <v>191</v>
      </c>
      <c r="G56" t="s">
        <v>192</v>
      </c>
      <c r="H56">
        <v>0</v>
      </c>
      <c r="I56">
        <v>0</v>
      </c>
      <c r="J56">
        <v>0</v>
      </c>
      <c r="K56">
        <v>0</v>
      </c>
      <c r="L56">
        <v>0</v>
      </c>
      <c r="Q56">
        <v>11.5</v>
      </c>
      <c r="R56">
        <v>5.5</v>
      </c>
      <c r="S56">
        <v>10.5</v>
      </c>
      <c r="T56">
        <v>6</v>
      </c>
      <c r="U56" s="1"/>
    </row>
    <row r="57" spans="1:21" x14ac:dyDescent="0.3">
      <c r="A57" t="s">
        <v>193</v>
      </c>
      <c r="B57" t="s">
        <v>28</v>
      </c>
      <c r="C57" t="s">
        <v>22</v>
      </c>
      <c r="D57" t="s">
        <v>194</v>
      </c>
      <c r="E57" t="s">
        <v>195</v>
      </c>
      <c r="F57" t="s">
        <v>43</v>
      </c>
      <c r="G57" t="s">
        <v>196</v>
      </c>
      <c r="H57">
        <v>0</v>
      </c>
      <c r="I57">
        <v>0</v>
      </c>
      <c r="J57">
        <v>0</v>
      </c>
      <c r="K57">
        <v>0</v>
      </c>
      <c r="L57">
        <v>0</v>
      </c>
      <c r="Q57">
        <v>6</v>
      </c>
      <c r="T57">
        <v>13</v>
      </c>
      <c r="U57" s="1"/>
    </row>
    <row r="58" spans="1:21" x14ac:dyDescent="0.3">
      <c r="A58" s="23" t="s">
        <v>197</v>
      </c>
      <c r="B58" t="s">
        <v>21</v>
      </c>
      <c r="C58" t="s">
        <v>22</v>
      </c>
      <c r="D58" t="s">
        <v>198</v>
      </c>
      <c r="E58" t="s">
        <v>199</v>
      </c>
      <c r="F58" t="s">
        <v>200</v>
      </c>
      <c r="G58" t="s">
        <v>201</v>
      </c>
      <c r="H58">
        <v>0</v>
      </c>
      <c r="I58">
        <v>0</v>
      </c>
      <c r="J58">
        <v>0</v>
      </c>
      <c r="K58">
        <v>0</v>
      </c>
      <c r="L58">
        <v>0</v>
      </c>
      <c r="Q58">
        <v>31</v>
      </c>
      <c r="T58">
        <v>19</v>
      </c>
      <c r="U58" s="1"/>
    </row>
    <row r="59" spans="1:21" x14ac:dyDescent="0.3">
      <c r="A59" s="7" t="s">
        <v>202</v>
      </c>
      <c r="B59" t="s">
        <v>28</v>
      </c>
      <c r="C59" t="s">
        <v>22</v>
      </c>
      <c r="D59" t="s">
        <v>198</v>
      </c>
      <c r="E59" t="s">
        <v>199</v>
      </c>
      <c r="F59" t="s">
        <v>92</v>
      </c>
      <c r="G59" t="s">
        <v>203</v>
      </c>
      <c r="H59">
        <v>0</v>
      </c>
      <c r="I59">
        <v>0</v>
      </c>
      <c r="J59">
        <v>0</v>
      </c>
      <c r="K59">
        <v>0</v>
      </c>
      <c r="L59">
        <v>0</v>
      </c>
      <c r="Q59">
        <v>3.5</v>
      </c>
      <c r="R59">
        <v>14</v>
      </c>
      <c r="S59">
        <v>7.5</v>
      </c>
      <c r="T59">
        <v>10.5</v>
      </c>
      <c r="U59" s="1"/>
    </row>
    <row r="60" spans="1:21" x14ac:dyDescent="0.3">
      <c r="A60" s="10" t="s">
        <v>204</v>
      </c>
      <c r="B60" t="s">
        <v>21</v>
      </c>
      <c r="C60" t="s">
        <v>22</v>
      </c>
      <c r="D60" s="10" t="s">
        <v>205</v>
      </c>
      <c r="E60" s="10" t="s">
        <v>206</v>
      </c>
      <c r="F60" t="s">
        <v>92</v>
      </c>
      <c r="G60" t="s">
        <v>207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21" x14ac:dyDescent="0.3">
      <c r="A61" t="s">
        <v>208</v>
      </c>
      <c r="B61" t="s">
        <v>21</v>
      </c>
      <c r="C61" t="s">
        <v>22</v>
      </c>
      <c r="D61" t="s">
        <v>209</v>
      </c>
      <c r="E61" t="s">
        <v>210</v>
      </c>
      <c r="F61" t="s">
        <v>211</v>
      </c>
      <c r="G61" t="s">
        <v>212</v>
      </c>
      <c r="H61">
        <v>0</v>
      </c>
      <c r="I61">
        <v>0</v>
      </c>
      <c r="J61">
        <v>0</v>
      </c>
      <c r="K61">
        <v>0</v>
      </c>
      <c r="L61">
        <v>0</v>
      </c>
      <c r="Q61">
        <v>10.5</v>
      </c>
      <c r="R61">
        <v>6.5</v>
      </c>
      <c r="S61">
        <v>10</v>
      </c>
      <c r="T61">
        <v>6.5</v>
      </c>
    </row>
    <row r="62" spans="1:21" x14ac:dyDescent="0.3">
      <c r="A62" t="s">
        <v>208</v>
      </c>
      <c r="B62" t="s">
        <v>21</v>
      </c>
      <c r="C62" t="s">
        <v>22</v>
      </c>
      <c r="D62" t="s">
        <v>209</v>
      </c>
      <c r="E62" t="s">
        <v>213</v>
      </c>
      <c r="F62" t="s">
        <v>211</v>
      </c>
      <c r="G62" t="s">
        <v>214</v>
      </c>
      <c r="H62">
        <v>0</v>
      </c>
      <c r="I62">
        <v>0</v>
      </c>
      <c r="J62">
        <v>0</v>
      </c>
      <c r="K62">
        <v>0</v>
      </c>
      <c r="L62">
        <v>0</v>
      </c>
      <c r="Q62">
        <v>16</v>
      </c>
      <c r="R62">
        <v>11.5</v>
      </c>
      <c r="S62">
        <v>16</v>
      </c>
      <c r="T62">
        <v>11</v>
      </c>
    </row>
    <row r="63" spans="1:21" x14ac:dyDescent="0.3">
      <c r="A63" t="s">
        <v>208</v>
      </c>
      <c r="B63" t="s">
        <v>21</v>
      </c>
      <c r="C63" t="s">
        <v>22</v>
      </c>
      <c r="D63" t="s">
        <v>209</v>
      </c>
      <c r="E63" t="s">
        <v>215</v>
      </c>
      <c r="F63" t="s">
        <v>211</v>
      </c>
      <c r="G63" t="s">
        <v>216</v>
      </c>
      <c r="H63">
        <v>0</v>
      </c>
      <c r="I63">
        <v>0</v>
      </c>
      <c r="J63">
        <v>0</v>
      </c>
      <c r="K63">
        <v>0</v>
      </c>
      <c r="L63">
        <v>0</v>
      </c>
      <c r="Q63">
        <v>17.5</v>
      </c>
      <c r="R63">
        <v>12</v>
      </c>
      <c r="S63">
        <v>17.5</v>
      </c>
      <c r="T63">
        <v>12.5</v>
      </c>
    </row>
    <row r="64" spans="1:21" x14ac:dyDescent="0.3">
      <c r="A64" t="s">
        <v>208</v>
      </c>
      <c r="B64" t="s">
        <v>21</v>
      </c>
      <c r="C64" t="s">
        <v>22</v>
      </c>
      <c r="D64" t="s">
        <v>209</v>
      </c>
      <c r="E64" t="s">
        <v>213</v>
      </c>
      <c r="F64" t="s">
        <v>211</v>
      </c>
      <c r="G64" t="s">
        <v>217</v>
      </c>
      <c r="H64">
        <v>0</v>
      </c>
      <c r="I64">
        <v>0</v>
      </c>
      <c r="J64">
        <v>0</v>
      </c>
      <c r="K64">
        <v>0</v>
      </c>
      <c r="L64">
        <v>0</v>
      </c>
      <c r="Q64">
        <v>20.5</v>
      </c>
      <c r="R64">
        <v>13</v>
      </c>
      <c r="S64">
        <v>20</v>
      </c>
      <c r="T64">
        <v>15</v>
      </c>
    </row>
    <row r="65" spans="1:21" x14ac:dyDescent="0.3">
      <c r="A65" t="s">
        <v>208</v>
      </c>
      <c r="B65" t="s">
        <v>21</v>
      </c>
      <c r="C65" t="s">
        <v>22</v>
      </c>
      <c r="D65" t="s">
        <v>209</v>
      </c>
      <c r="E65" t="s">
        <v>215</v>
      </c>
      <c r="F65" t="s">
        <v>211</v>
      </c>
      <c r="G65" t="s">
        <v>218</v>
      </c>
      <c r="H65">
        <v>0</v>
      </c>
      <c r="I65">
        <v>0</v>
      </c>
      <c r="J65">
        <v>0</v>
      </c>
      <c r="K65">
        <v>0</v>
      </c>
      <c r="L65">
        <v>0</v>
      </c>
      <c r="Q65">
        <v>23</v>
      </c>
      <c r="R65">
        <v>15</v>
      </c>
      <c r="S65">
        <v>22.5</v>
      </c>
      <c r="T65">
        <v>16.5</v>
      </c>
    </row>
    <row r="66" spans="1:21" x14ac:dyDescent="0.3">
      <c r="A66" t="s">
        <v>219</v>
      </c>
      <c r="B66" t="s">
        <v>28</v>
      </c>
      <c r="C66" t="s">
        <v>22</v>
      </c>
      <c r="D66" t="s">
        <v>220</v>
      </c>
      <c r="E66" t="s">
        <v>221</v>
      </c>
      <c r="F66" t="s">
        <v>25</v>
      </c>
      <c r="G66" t="s">
        <v>163</v>
      </c>
      <c r="H66">
        <v>0</v>
      </c>
      <c r="I66">
        <v>0</v>
      </c>
      <c r="J66">
        <v>0</v>
      </c>
      <c r="K66">
        <v>0</v>
      </c>
      <c r="L66">
        <v>0</v>
      </c>
      <c r="Q66">
        <v>9</v>
      </c>
      <c r="T66">
        <v>19</v>
      </c>
      <c r="U66" s="1"/>
    </row>
    <row r="67" spans="1:21" x14ac:dyDescent="0.3">
      <c r="A67" t="s">
        <v>222</v>
      </c>
      <c r="B67" t="s">
        <v>21</v>
      </c>
      <c r="C67" t="s">
        <v>29</v>
      </c>
      <c r="D67" s="43" t="s">
        <v>223</v>
      </c>
      <c r="E67" s="10" t="s">
        <v>224</v>
      </c>
      <c r="F67" t="s">
        <v>211</v>
      </c>
      <c r="G67" t="s">
        <v>192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21" x14ac:dyDescent="0.3">
      <c r="A68" t="s">
        <v>222</v>
      </c>
      <c r="B68" t="s">
        <v>21</v>
      </c>
      <c r="C68" t="s">
        <v>29</v>
      </c>
      <c r="D68" s="43" t="s">
        <v>223</v>
      </c>
      <c r="E68" s="10" t="s">
        <v>224</v>
      </c>
      <c r="F68" t="s">
        <v>211</v>
      </c>
      <c r="G68" t="s">
        <v>225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21" x14ac:dyDescent="0.3">
      <c r="A69" t="s">
        <v>222</v>
      </c>
      <c r="B69" t="s">
        <v>21</v>
      </c>
      <c r="C69" t="s">
        <v>29</v>
      </c>
      <c r="D69" s="43" t="s">
        <v>223</v>
      </c>
      <c r="E69" s="10" t="s">
        <v>224</v>
      </c>
      <c r="F69" t="s">
        <v>211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21" x14ac:dyDescent="0.3">
      <c r="A70" t="s">
        <v>222</v>
      </c>
      <c r="B70" t="s">
        <v>21</v>
      </c>
      <c r="C70" t="s">
        <v>29</v>
      </c>
      <c r="D70" s="43" t="s">
        <v>223</v>
      </c>
      <c r="E70" s="10" t="s">
        <v>224</v>
      </c>
      <c r="F70" t="s">
        <v>211</v>
      </c>
      <c r="G70" t="s">
        <v>226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21" x14ac:dyDescent="0.3">
      <c r="A71" t="s">
        <v>222</v>
      </c>
      <c r="B71" t="s">
        <v>21</v>
      </c>
      <c r="C71" t="s">
        <v>29</v>
      </c>
      <c r="D71" s="43" t="s">
        <v>223</v>
      </c>
      <c r="E71" s="10" t="s">
        <v>224</v>
      </c>
      <c r="F71" t="s">
        <v>211</v>
      </c>
      <c r="G71" t="s">
        <v>227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21" x14ac:dyDescent="0.3">
      <c r="A72" t="s">
        <v>222</v>
      </c>
      <c r="B72" t="s">
        <v>21</v>
      </c>
      <c r="C72" t="s">
        <v>29</v>
      </c>
      <c r="D72" s="43" t="s">
        <v>223</v>
      </c>
      <c r="E72" s="10" t="s">
        <v>224</v>
      </c>
      <c r="F72" t="s">
        <v>211</v>
      </c>
      <c r="G72" t="s">
        <v>228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21" x14ac:dyDescent="0.3">
      <c r="A73" t="s">
        <v>222</v>
      </c>
      <c r="B73" t="s">
        <v>21</v>
      </c>
      <c r="C73" t="s">
        <v>29</v>
      </c>
      <c r="D73" s="43" t="s">
        <v>223</v>
      </c>
      <c r="E73" s="10" t="s">
        <v>224</v>
      </c>
      <c r="F73" t="s">
        <v>211</v>
      </c>
      <c r="G73" t="s">
        <v>229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21" x14ac:dyDescent="0.3">
      <c r="A74" s="7" t="s">
        <v>230</v>
      </c>
      <c r="B74" t="s">
        <v>28</v>
      </c>
      <c r="C74" t="s">
        <v>22</v>
      </c>
      <c r="D74" t="s">
        <v>231</v>
      </c>
      <c r="E74" t="s">
        <v>232</v>
      </c>
      <c r="F74" t="s">
        <v>92</v>
      </c>
      <c r="G74" t="s">
        <v>233</v>
      </c>
      <c r="H74">
        <v>0</v>
      </c>
      <c r="I74">
        <v>0</v>
      </c>
      <c r="J74">
        <v>0</v>
      </c>
      <c r="K74">
        <v>0</v>
      </c>
      <c r="L74">
        <v>0</v>
      </c>
      <c r="Q74">
        <v>6</v>
      </c>
      <c r="T74">
        <v>15</v>
      </c>
      <c r="U74" s="1"/>
    </row>
    <row r="75" spans="1:21" x14ac:dyDescent="0.3">
      <c r="A75" t="s">
        <v>234</v>
      </c>
      <c r="B75" t="s">
        <v>21</v>
      </c>
      <c r="C75" t="s">
        <v>22</v>
      </c>
      <c r="D75" t="s">
        <v>235</v>
      </c>
      <c r="E75" t="s">
        <v>236</v>
      </c>
      <c r="F75" t="s">
        <v>38</v>
      </c>
      <c r="G75" t="s">
        <v>237</v>
      </c>
      <c r="H75">
        <v>0</v>
      </c>
      <c r="I75">
        <v>0</v>
      </c>
      <c r="J75">
        <v>0</v>
      </c>
      <c r="K75">
        <v>0</v>
      </c>
      <c r="L75">
        <v>0</v>
      </c>
      <c r="Q75">
        <v>19</v>
      </c>
      <c r="T75">
        <v>12</v>
      </c>
      <c r="U75" s="1"/>
    </row>
    <row r="76" spans="1:21" x14ac:dyDescent="0.3">
      <c r="A76" t="s">
        <v>238</v>
      </c>
      <c r="B76" t="s">
        <v>21</v>
      </c>
      <c r="C76" t="s">
        <v>22</v>
      </c>
      <c r="D76" t="s">
        <v>239</v>
      </c>
      <c r="E76" t="s">
        <v>240</v>
      </c>
      <c r="F76" t="s">
        <v>92</v>
      </c>
      <c r="G76" t="s">
        <v>241</v>
      </c>
      <c r="H76">
        <v>0</v>
      </c>
      <c r="I76">
        <v>0</v>
      </c>
      <c r="J76">
        <v>0</v>
      </c>
      <c r="K76">
        <v>0</v>
      </c>
      <c r="L76">
        <v>0</v>
      </c>
      <c r="Q76">
        <v>7</v>
      </c>
      <c r="T76">
        <v>11</v>
      </c>
      <c r="U76" s="1"/>
    </row>
    <row r="77" spans="1:21" x14ac:dyDescent="0.3">
      <c r="A77" t="s">
        <v>238</v>
      </c>
      <c r="B77" t="s">
        <v>21</v>
      </c>
      <c r="C77" t="s">
        <v>22</v>
      </c>
      <c r="D77" t="s">
        <v>239</v>
      </c>
      <c r="E77" t="s">
        <v>240</v>
      </c>
      <c r="F77" t="s">
        <v>92</v>
      </c>
      <c r="G77" t="s">
        <v>242</v>
      </c>
      <c r="H77">
        <v>0</v>
      </c>
      <c r="I77">
        <v>0</v>
      </c>
      <c r="J77">
        <v>0</v>
      </c>
      <c r="K77">
        <v>0</v>
      </c>
      <c r="L77">
        <v>0</v>
      </c>
      <c r="Q77">
        <v>32</v>
      </c>
      <c r="T77">
        <v>24</v>
      </c>
      <c r="U77" s="1"/>
    </row>
    <row r="78" spans="1:21" x14ac:dyDescent="0.3">
      <c r="A78" t="s">
        <v>243</v>
      </c>
      <c r="B78" t="s">
        <v>28</v>
      </c>
      <c r="C78" t="s">
        <v>22</v>
      </c>
      <c r="D78" t="s">
        <v>244</v>
      </c>
      <c r="E78" t="s">
        <v>245</v>
      </c>
      <c r="F78" t="s">
        <v>246</v>
      </c>
      <c r="G78" t="s">
        <v>247</v>
      </c>
      <c r="H78">
        <v>0</v>
      </c>
      <c r="I78">
        <v>0</v>
      </c>
      <c r="J78">
        <v>0</v>
      </c>
      <c r="K78">
        <v>0</v>
      </c>
      <c r="L78">
        <v>0</v>
      </c>
      <c r="Q78">
        <v>5</v>
      </c>
      <c r="T78">
        <v>13</v>
      </c>
      <c r="U78" s="1"/>
    </row>
    <row r="79" spans="1:21" x14ac:dyDescent="0.3">
      <c r="A79" t="s">
        <v>248</v>
      </c>
      <c r="B79" t="s">
        <v>21</v>
      </c>
      <c r="C79" t="s">
        <v>22</v>
      </c>
      <c r="D79" t="s">
        <v>249</v>
      </c>
      <c r="E79" t="s">
        <v>250</v>
      </c>
      <c r="F79" t="s">
        <v>251</v>
      </c>
      <c r="G79" t="s">
        <v>252</v>
      </c>
      <c r="H79">
        <v>0</v>
      </c>
      <c r="I79">
        <v>0</v>
      </c>
      <c r="J79">
        <v>0</v>
      </c>
      <c r="K79">
        <v>0</v>
      </c>
      <c r="L79">
        <v>0</v>
      </c>
      <c r="P79">
        <v>9</v>
      </c>
      <c r="Q79">
        <v>19</v>
      </c>
      <c r="T79">
        <v>7</v>
      </c>
      <c r="U79" s="1"/>
    </row>
    <row r="80" spans="1:21" x14ac:dyDescent="0.3">
      <c r="A80" t="s">
        <v>248</v>
      </c>
      <c r="B80" t="s">
        <v>21</v>
      </c>
      <c r="C80" t="s">
        <v>22</v>
      </c>
      <c r="D80" t="s">
        <v>249</v>
      </c>
      <c r="E80" t="s">
        <v>250</v>
      </c>
      <c r="F80" t="s">
        <v>251</v>
      </c>
      <c r="G80" t="s">
        <v>253</v>
      </c>
      <c r="H80">
        <v>0</v>
      </c>
      <c r="I80">
        <v>0</v>
      </c>
      <c r="J80">
        <v>0</v>
      </c>
      <c r="K80">
        <v>0</v>
      </c>
      <c r="L80">
        <v>0</v>
      </c>
      <c r="P80">
        <v>9</v>
      </c>
      <c r="Q80">
        <v>19</v>
      </c>
      <c r="T80">
        <v>7</v>
      </c>
      <c r="U80" s="1"/>
    </row>
    <row r="81" spans="1:21" x14ac:dyDescent="0.3">
      <c r="A81" t="s">
        <v>248</v>
      </c>
      <c r="B81" t="s">
        <v>21</v>
      </c>
      <c r="C81" t="s">
        <v>22</v>
      </c>
      <c r="D81" t="s">
        <v>249</v>
      </c>
      <c r="E81" t="s">
        <v>250</v>
      </c>
      <c r="F81" t="s">
        <v>251</v>
      </c>
      <c r="G81" t="s">
        <v>254</v>
      </c>
      <c r="H81">
        <v>0</v>
      </c>
      <c r="I81">
        <v>0</v>
      </c>
      <c r="J81">
        <v>0</v>
      </c>
      <c r="K81">
        <v>0</v>
      </c>
      <c r="L81">
        <v>0</v>
      </c>
      <c r="P81">
        <v>9</v>
      </c>
      <c r="Q81">
        <v>19</v>
      </c>
      <c r="T81">
        <v>7</v>
      </c>
      <c r="U81" s="1"/>
    </row>
    <row r="82" spans="1:21" x14ac:dyDescent="0.3">
      <c r="A82" t="s">
        <v>255</v>
      </c>
      <c r="B82" t="s">
        <v>21</v>
      </c>
      <c r="C82" t="s">
        <v>22</v>
      </c>
      <c r="D82" t="s">
        <v>256</v>
      </c>
      <c r="E82" t="s">
        <v>257</v>
      </c>
      <c r="F82" t="s">
        <v>92</v>
      </c>
      <c r="G82" t="s">
        <v>258</v>
      </c>
      <c r="H82">
        <v>0</v>
      </c>
      <c r="I82">
        <v>0</v>
      </c>
      <c r="J82">
        <v>0</v>
      </c>
      <c r="K82">
        <v>0</v>
      </c>
      <c r="L82">
        <v>0</v>
      </c>
      <c r="Q82">
        <v>6</v>
      </c>
      <c r="T82">
        <v>13</v>
      </c>
      <c r="U82" s="1"/>
    </row>
    <row r="83" spans="1:21" x14ac:dyDescent="0.3">
      <c r="A83" s="2" t="s">
        <v>259</v>
      </c>
      <c r="B83" t="s">
        <v>21</v>
      </c>
      <c r="C83" t="s">
        <v>22</v>
      </c>
      <c r="D83" t="s">
        <v>260</v>
      </c>
      <c r="E83" t="s">
        <v>261</v>
      </c>
      <c r="F83" t="s">
        <v>211</v>
      </c>
      <c r="G83" t="s">
        <v>262</v>
      </c>
      <c r="H83">
        <v>0</v>
      </c>
      <c r="I83">
        <v>0</v>
      </c>
      <c r="J83">
        <v>0</v>
      </c>
      <c r="K83">
        <v>0</v>
      </c>
      <c r="L83">
        <v>0</v>
      </c>
      <c r="Q83">
        <v>24</v>
      </c>
      <c r="T83">
        <v>12</v>
      </c>
      <c r="U83" s="1"/>
    </row>
    <row r="84" spans="1:21" x14ac:dyDescent="0.3">
      <c r="A84" t="s">
        <v>263</v>
      </c>
      <c r="B84" t="s">
        <v>21</v>
      </c>
      <c r="C84" t="s">
        <v>22</v>
      </c>
      <c r="D84" s="18" t="s">
        <v>264</v>
      </c>
      <c r="E84" t="s">
        <v>265</v>
      </c>
      <c r="F84" t="s">
        <v>266</v>
      </c>
      <c r="G84" t="s">
        <v>267</v>
      </c>
      <c r="H84">
        <v>0</v>
      </c>
      <c r="I84">
        <v>0</v>
      </c>
      <c r="J84">
        <v>0</v>
      </c>
      <c r="K84">
        <v>0</v>
      </c>
      <c r="L84">
        <v>0</v>
      </c>
      <c r="P84">
        <v>9</v>
      </c>
    </row>
    <row r="85" spans="1:21" x14ac:dyDescent="0.3">
      <c r="A85" t="s">
        <v>263</v>
      </c>
      <c r="B85" t="s">
        <v>21</v>
      </c>
      <c r="C85" t="s">
        <v>22</v>
      </c>
      <c r="D85" s="18" t="s">
        <v>264</v>
      </c>
      <c r="E85" t="s">
        <v>265</v>
      </c>
      <c r="F85" t="s">
        <v>266</v>
      </c>
      <c r="G85" t="s">
        <v>268</v>
      </c>
      <c r="H85">
        <v>0</v>
      </c>
      <c r="I85">
        <v>0</v>
      </c>
      <c r="J85">
        <v>0</v>
      </c>
      <c r="K85">
        <v>0</v>
      </c>
      <c r="L85">
        <v>0</v>
      </c>
      <c r="P85">
        <v>9</v>
      </c>
    </row>
    <row r="86" spans="1:21" x14ac:dyDescent="0.3">
      <c r="A86" t="s">
        <v>263</v>
      </c>
      <c r="B86" t="s">
        <v>21</v>
      </c>
      <c r="C86" t="s">
        <v>22</v>
      </c>
      <c r="D86" s="18" t="s">
        <v>264</v>
      </c>
      <c r="E86" t="s">
        <v>265</v>
      </c>
      <c r="F86" t="s">
        <v>266</v>
      </c>
      <c r="G86" t="s">
        <v>269</v>
      </c>
      <c r="H86">
        <v>0</v>
      </c>
      <c r="I86">
        <v>0</v>
      </c>
      <c r="J86">
        <v>0</v>
      </c>
      <c r="K86">
        <v>0</v>
      </c>
      <c r="L86">
        <v>0</v>
      </c>
      <c r="P86">
        <v>9</v>
      </c>
    </row>
    <row r="87" spans="1:21" x14ac:dyDescent="0.3">
      <c r="A87" t="s">
        <v>263</v>
      </c>
      <c r="B87" t="s">
        <v>21</v>
      </c>
      <c r="C87" t="s">
        <v>22</v>
      </c>
      <c r="D87" s="18" t="s">
        <v>264</v>
      </c>
      <c r="E87" t="s">
        <v>265</v>
      </c>
      <c r="F87" t="s">
        <v>25</v>
      </c>
      <c r="G87" t="s">
        <v>270</v>
      </c>
      <c r="H87">
        <v>0</v>
      </c>
      <c r="I87">
        <v>0</v>
      </c>
      <c r="J87">
        <v>0</v>
      </c>
      <c r="K87">
        <v>0</v>
      </c>
      <c r="L87">
        <v>0</v>
      </c>
      <c r="P87">
        <v>9</v>
      </c>
    </row>
    <row r="88" spans="1:21" x14ac:dyDescent="0.3">
      <c r="A88" t="s">
        <v>271</v>
      </c>
      <c r="B88" t="s">
        <v>53</v>
      </c>
      <c r="C88" t="s">
        <v>29</v>
      </c>
      <c r="D88" s="18" t="s">
        <v>272</v>
      </c>
      <c r="E88" s="10" t="s">
        <v>273</v>
      </c>
      <c r="F88" t="s">
        <v>56</v>
      </c>
      <c r="G88" t="s">
        <v>274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21" x14ac:dyDescent="0.3">
      <c r="A89" t="s">
        <v>275</v>
      </c>
      <c r="B89" t="s">
        <v>28</v>
      </c>
      <c r="C89" t="s">
        <v>22</v>
      </c>
      <c r="D89" t="s">
        <v>276</v>
      </c>
      <c r="E89" t="s">
        <v>277</v>
      </c>
      <c r="F89" t="s">
        <v>38</v>
      </c>
      <c r="G89" t="s">
        <v>278</v>
      </c>
      <c r="H89">
        <v>0</v>
      </c>
      <c r="I89">
        <v>0</v>
      </c>
      <c r="J89">
        <v>0</v>
      </c>
      <c r="K89">
        <v>0</v>
      </c>
      <c r="L89">
        <v>0</v>
      </c>
      <c r="Q89">
        <v>21</v>
      </c>
      <c r="T89">
        <v>16</v>
      </c>
      <c r="U89" s="1"/>
    </row>
    <row r="90" spans="1:21" x14ac:dyDescent="0.3">
      <c r="A90" t="s">
        <v>275</v>
      </c>
      <c r="B90" t="s">
        <v>21</v>
      </c>
      <c r="C90" t="s">
        <v>22</v>
      </c>
      <c r="D90" t="s">
        <v>276</v>
      </c>
      <c r="E90" t="s">
        <v>277</v>
      </c>
      <c r="F90" t="s">
        <v>279</v>
      </c>
      <c r="G90" t="s">
        <v>280</v>
      </c>
      <c r="H90">
        <v>0</v>
      </c>
      <c r="I90">
        <v>0</v>
      </c>
      <c r="J90">
        <v>0</v>
      </c>
      <c r="K90">
        <v>0</v>
      </c>
      <c r="L90">
        <v>0</v>
      </c>
      <c r="O90">
        <v>5</v>
      </c>
      <c r="Q90">
        <v>21</v>
      </c>
      <c r="T90">
        <v>16</v>
      </c>
      <c r="U90" s="1"/>
    </row>
    <row r="91" spans="1:21" x14ac:dyDescent="0.3">
      <c r="A91" t="s">
        <v>275</v>
      </c>
      <c r="B91" t="s">
        <v>21</v>
      </c>
      <c r="C91" t="s">
        <v>22</v>
      </c>
      <c r="D91" t="s">
        <v>276</v>
      </c>
      <c r="E91" t="s">
        <v>277</v>
      </c>
      <c r="F91" t="s">
        <v>279</v>
      </c>
      <c r="G91" t="s">
        <v>281</v>
      </c>
      <c r="H91">
        <v>0</v>
      </c>
      <c r="I91">
        <v>0</v>
      </c>
      <c r="J91">
        <v>0</v>
      </c>
      <c r="K91">
        <v>0</v>
      </c>
      <c r="L91">
        <v>0</v>
      </c>
      <c r="O91">
        <v>5</v>
      </c>
      <c r="Q91">
        <v>21</v>
      </c>
      <c r="T91">
        <v>16</v>
      </c>
      <c r="U91" s="1"/>
    </row>
    <row r="92" spans="1:21" x14ac:dyDescent="0.3">
      <c r="A92" t="s">
        <v>275</v>
      </c>
      <c r="B92" t="s">
        <v>21</v>
      </c>
      <c r="C92" t="s">
        <v>22</v>
      </c>
      <c r="D92" t="s">
        <v>276</v>
      </c>
      <c r="E92" t="s">
        <v>277</v>
      </c>
      <c r="F92" t="s">
        <v>279</v>
      </c>
      <c r="G92" t="s">
        <v>282</v>
      </c>
      <c r="H92">
        <v>0</v>
      </c>
      <c r="I92">
        <v>0</v>
      </c>
      <c r="J92">
        <v>0</v>
      </c>
      <c r="K92">
        <v>0</v>
      </c>
      <c r="L92">
        <v>0</v>
      </c>
      <c r="O92">
        <v>5</v>
      </c>
      <c r="P92">
        <v>10</v>
      </c>
      <c r="Q92">
        <v>3</v>
      </c>
      <c r="T92">
        <v>11</v>
      </c>
      <c r="U92" s="1"/>
    </row>
    <row r="93" spans="1:21" x14ac:dyDescent="0.3">
      <c r="A93" t="s">
        <v>283</v>
      </c>
      <c r="B93" t="s">
        <v>28</v>
      </c>
      <c r="C93" t="s">
        <v>22</v>
      </c>
      <c r="D93" s="18" t="s">
        <v>284</v>
      </c>
      <c r="E93" s="10" t="s">
        <v>285</v>
      </c>
      <c r="F93" t="s">
        <v>32</v>
      </c>
      <c r="G93" t="s">
        <v>286</v>
      </c>
      <c r="H93">
        <v>0</v>
      </c>
      <c r="I93">
        <v>0</v>
      </c>
      <c r="J93">
        <v>0</v>
      </c>
      <c r="K93">
        <v>0</v>
      </c>
      <c r="L93">
        <v>0</v>
      </c>
      <c r="O93">
        <v>12</v>
      </c>
    </row>
    <row r="94" spans="1:21" x14ac:dyDescent="0.3">
      <c r="A94" t="s">
        <v>287</v>
      </c>
      <c r="B94" t="s">
        <v>21</v>
      </c>
      <c r="C94" t="s">
        <v>29</v>
      </c>
      <c r="D94" s="18" t="s">
        <v>288</v>
      </c>
      <c r="E94" s="10" t="s">
        <v>289</v>
      </c>
      <c r="F94" t="s">
        <v>25</v>
      </c>
      <c r="G94" t="s">
        <v>290</v>
      </c>
      <c r="H94">
        <v>0</v>
      </c>
      <c r="I94">
        <v>0</v>
      </c>
      <c r="J94">
        <v>0</v>
      </c>
      <c r="K94">
        <v>0</v>
      </c>
      <c r="L94">
        <v>0</v>
      </c>
      <c r="O94">
        <v>7</v>
      </c>
    </row>
    <row r="95" spans="1:21" x14ac:dyDescent="0.3">
      <c r="A95" t="s">
        <v>291</v>
      </c>
      <c r="B95" t="s">
        <v>21</v>
      </c>
      <c r="C95" t="s">
        <v>22</v>
      </c>
      <c r="D95" s="18" t="s">
        <v>292</v>
      </c>
      <c r="E95" s="10" t="s">
        <v>293</v>
      </c>
      <c r="F95" t="s">
        <v>25</v>
      </c>
      <c r="G95" t="s">
        <v>294</v>
      </c>
      <c r="H95">
        <v>0</v>
      </c>
      <c r="I95">
        <v>0</v>
      </c>
      <c r="J95">
        <v>0</v>
      </c>
      <c r="K95">
        <v>0</v>
      </c>
      <c r="L95">
        <v>0</v>
      </c>
      <c r="U95" s="1"/>
    </row>
    <row r="96" spans="1:21" x14ac:dyDescent="0.3">
      <c r="A96" t="s">
        <v>295</v>
      </c>
      <c r="B96" t="s">
        <v>28</v>
      </c>
      <c r="C96" t="s">
        <v>29</v>
      </c>
      <c r="D96" s="18" t="s">
        <v>296</v>
      </c>
      <c r="E96" s="10" t="s">
        <v>297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21" x14ac:dyDescent="0.3">
      <c r="A97" t="s">
        <v>298</v>
      </c>
      <c r="B97" t="s">
        <v>21</v>
      </c>
      <c r="C97" t="s">
        <v>22</v>
      </c>
      <c r="D97" t="s">
        <v>299</v>
      </c>
      <c r="E97" t="s">
        <v>300</v>
      </c>
      <c r="F97" t="s">
        <v>301</v>
      </c>
      <c r="G97" t="s">
        <v>302</v>
      </c>
      <c r="H97">
        <v>0</v>
      </c>
      <c r="I97">
        <v>0</v>
      </c>
      <c r="J97">
        <v>0</v>
      </c>
      <c r="K97">
        <v>0</v>
      </c>
      <c r="L97">
        <v>0</v>
      </c>
      <c r="O97">
        <v>5</v>
      </c>
      <c r="Q97">
        <v>7.5</v>
      </c>
      <c r="R97">
        <v>4.5</v>
      </c>
      <c r="S97">
        <v>7</v>
      </c>
      <c r="T97">
        <v>2</v>
      </c>
      <c r="U97" s="1"/>
    </row>
    <row r="98" spans="1:21" x14ac:dyDescent="0.3">
      <c r="A98" t="s">
        <v>303</v>
      </c>
      <c r="B98" t="s">
        <v>21</v>
      </c>
      <c r="C98" t="s">
        <v>29</v>
      </c>
      <c r="D98" t="s">
        <v>304</v>
      </c>
      <c r="E98" t="s">
        <v>305</v>
      </c>
      <c r="F98" t="s">
        <v>306</v>
      </c>
      <c r="G98" t="s">
        <v>307</v>
      </c>
      <c r="H98">
        <v>0</v>
      </c>
      <c r="I98">
        <v>0</v>
      </c>
      <c r="J98">
        <v>0</v>
      </c>
      <c r="K98">
        <v>0</v>
      </c>
      <c r="L98">
        <v>0</v>
      </c>
      <c r="O98">
        <v>10</v>
      </c>
      <c r="Q98">
        <v>12</v>
      </c>
      <c r="R98">
        <v>7</v>
      </c>
      <c r="S98">
        <v>11.5</v>
      </c>
      <c r="T98">
        <v>7</v>
      </c>
      <c r="U98" s="1"/>
    </row>
    <row r="99" spans="1:21" x14ac:dyDescent="0.3">
      <c r="A99" t="s">
        <v>308</v>
      </c>
      <c r="B99" t="s">
        <v>28</v>
      </c>
      <c r="C99" t="s">
        <v>22</v>
      </c>
      <c r="D99" s="18" t="s">
        <v>309</v>
      </c>
      <c r="E99" s="10" t="s">
        <v>310</v>
      </c>
      <c r="F99" t="s">
        <v>92</v>
      </c>
      <c r="G99" t="s">
        <v>311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21" x14ac:dyDescent="0.3">
      <c r="A100" t="s">
        <v>312</v>
      </c>
      <c r="B100" t="s">
        <v>21</v>
      </c>
      <c r="C100" t="s">
        <v>22</v>
      </c>
      <c r="D100" t="s">
        <v>313</v>
      </c>
      <c r="E100" t="s">
        <v>314</v>
      </c>
      <c r="F100" t="s">
        <v>315</v>
      </c>
      <c r="G100" t="s">
        <v>316</v>
      </c>
      <c r="H100">
        <v>0</v>
      </c>
      <c r="I100">
        <v>0</v>
      </c>
      <c r="J100">
        <v>0</v>
      </c>
      <c r="K100">
        <v>0</v>
      </c>
      <c r="L100">
        <v>0</v>
      </c>
      <c r="Q100" s="1">
        <v>4.5</v>
      </c>
      <c r="R100" s="1"/>
      <c r="S100" s="1"/>
      <c r="T100" s="1">
        <v>13.75</v>
      </c>
      <c r="U100" s="1"/>
    </row>
    <row r="101" spans="1:21" x14ac:dyDescent="0.3">
      <c r="A101" t="s">
        <v>317</v>
      </c>
      <c r="B101" t="s">
        <v>21</v>
      </c>
      <c r="C101" t="s">
        <v>22</v>
      </c>
      <c r="D101" t="s">
        <v>318</v>
      </c>
      <c r="E101" t="s">
        <v>319</v>
      </c>
      <c r="F101" t="s">
        <v>320</v>
      </c>
      <c r="G101" t="s">
        <v>321</v>
      </c>
      <c r="H101">
        <v>0</v>
      </c>
      <c r="I101">
        <v>0</v>
      </c>
      <c r="J101">
        <v>0</v>
      </c>
      <c r="K101">
        <v>0</v>
      </c>
      <c r="L101">
        <v>0</v>
      </c>
      <c r="Q101">
        <v>17</v>
      </c>
      <c r="T101">
        <v>9</v>
      </c>
      <c r="U101" s="1"/>
    </row>
    <row r="102" spans="1:21" x14ac:dyDescent="0.3">
      <c r="A102" t="s">
        <v>317</v>
      </c>
      <c r="B102" t="s">
        <v>21</v>
      </c>
      <c r="C102" t="s">
        <v>22</v>
      </c>
      <c r="D102" t="s">
        <v>318</v>
      </c>
      <c r="E102" t="s">
        <v>319</v>
      </c>
      <c r="F102" t="s">
        <v>320</v>
      </c>
      <c r="G102" t="s">
        <v>242</v>
      </c>
      <c r="H102">
        <v>0</v>
      </c>
      <c r="I102">
        <v>0</v>
      </c>
      <c r="J102">
        <v>0</v>
      </c>
      <c r="K102">
        <v>0</v>
      </c>
      <c r="L102">
        <v>0</v>
      </c>
      <c r="Q102">
        <v>33</v>
      </c>
      <c r="T102">
        <v>25</v>
      </c>
      <c r="U102" s="1"/>
    </row>
    <row r="103" spans="1:21" x14ac:dyDescent="0.3">
      <c r="A103" t="s">
        <v>322</v>
      </c>
      <c r="B103" t="s">
        <v>21</v>
      </c>
      <c r="D103" s="10" t="s">
        <v>323</v>
      </c>
      <c r="E103" s="10" t="s">
        <v>324</v>
      </c>
      <c r="F103" t="s">
        <v>32</v>
      </c>
      <c r="G103" t="s">
        <v>226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21" x14ac:dyDescent="0.3">
      <c r="A104" t="s">
        <v>322</v>
      </c>
      <c r="B104" t="s">
        <v>21</v>
      </c>
      <c r="D104" s="10" t="s">
        <v>323</v>
      </c>
      <c r="E104" s="10" t="s">
        <v>324</v>
      </c>
      <c r="F104" t="s">
        <v>32</v>
      </c>
      <c r="G104" t="s">
        <v>86</v>
      </c>
      <c r="H104">
        <v>0</v>
      </c>
      <c r="I104">
        <v>0</v>
      </c>
      <c r="J104">
        <v>0</v>
      </c>
      <c r="K104">
        <v>0</v>
      </c>
      <c r="L104">
        <v>0</v>
      </c>
      <c r="Q104">
        <v>23</v>
      </c>
      <c r="R104">
        <v>16</v>
      </c>
      <c r="S104">
        <v>22.5</v>
      </c>
      <c r="T104">
        <v>17.5</v>
      </c>
    </row>
    <row r="105" spans="1:21" x14ac:dyDescent="0.3">
      <c r="A105" t="s">
        <v>325</v>
      </c>
      <c r="B105" t="s">
        <v>21</v>
      </c>
      <c r="C105" t="s">
        <v>29</v>
      </c>
      <c r="D105" s="43" t="s">
        <v>326</v>
      </c>
      <c r="E105" t="s">
        <v>327</v>
      </c>
      <c r="F105" t="s">
        <v>328</v>
      </c>
      <c r="G105" t="s">
        <v>329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21" x14ac:dyDescent="0.3">
      <c r="A106" t="s">
        <v>330</v>
      </c>
      <c r="B106" t="s">
        <v>53</v>
      </c>
      <c r="C106" t="s">
        <v>29</v>
      </c>
      <c r="D106" t="s">
        <v>331</v>
      </c>
      <c r="E106" t="s">
        <v>332</v>
      </c>
      <c r="F106" t="s">
        <v>56</v>
      </c>
      <c r="G106" t="s">
        <v>262</v>
      </c>
      <c r="H106">
        <v>0</v>
      </c>
      <c r="I106">
        <v>0</v>
      </c>
      <c r="J106">
        <v>0</v>
      </c>
      <c r="K106">
        <v>0</v>
      </c>
      <c r="L106">
        <v>0</v>
      </c>
      <c r="Q106">
        <v>5.5</v>
      </c>
      <c r="R106">
        <v>9</v>
      </c>
      <c r="S106">
        <v>1</v>
      </c>
      <c r="T106">
        <v>6</v>
      </c>
    </row>
    <row r="107" spans="1:21" x14ac:dyDescent="0.3">
      <c r="A107" t="s">
        <v>330</v>
      </c>
      <c r="B107" t="s">
        <v>53</v>
      </c>
      <c r="C107" t="s">
        <v>29</v>
      </c>
      <c r="D107" t="s">
        <v>331</v>
      </c>
      <c r="E107" t="s">
        <v>332</v>
      </c>
      <c r="F107" t="s">
        <v>56</v>
      </c>
      <c r="G107" t="s">
        <v>333</v>
      </c>
      <c r="H107">
        <v>0</v>
      </c>
      <c r="I107">
        <v>0</v>
      </c>
      <c r="J107">
        <v>0</v>
      </c>
      <c r="K107">
        <v>0</v>
      </c>
      <c r="L107">
        <v>0</v>
      </c>
      <c r="Q107">
        <v>5.5</v>
      </c>
      <c r="R107">
        <v>9</v>
      </c>
      <c r="S107">
        <v>1</v>
      </c>
      <c r="T107">
        <v>6</v>
      </c>
    </row>
    <row r="108" spans="1:21" x14ac:dyDescent="0.3">
      <c r="A108" t="s">
        <v>330</v>
      </c>
      <c r="B108" t="s">
        <v>53</v>
      </c>
      <c r="C108" t="s">
        <v>29</v>
      </c>
      <c r="D108" t="s">
        <v>331</v>
      </c>
      <c r="E108" t="s">
        <v>332</v>
      </c>
      <c r="F108" t="s">
        <v>56</v>
      </c>
      <c r="G108" t="s">
        <v>334</v>
      </c>
      <c r="H108">
        <v>0</v>
      </c>
      <c r="I108">
        <v>0</v>
      </c>
      <c r="J108">
        <v>0</v>
      </c>
      <c r="K108">
        <v>0</v>
      </c>
      <c r="L108">
        <v>0</v>
      </c>
      <c r="Q108">
        <v>5.5</v>
      </c>
      <c r="R108">
        <v>9</v>
      </c>
      <c r="S108">
        <v>1</v>
      </c>
      <c r="T108">
        <v>6</v>
      </c>
    </row>
    <row r="109" spans="1:21" x14ac:dyDescent="0.3">
      <c r="A109" t="s">
        <v>330</v>
      </c>
      <c r="B109" t="s">
        <v>53</v>
      </c>
      <c r="C109" t="s">
        <v>29</v>
      </c>
      <c r="D109" t="s">
        <v>331</v>
      </c>
      <c r="E109" t="s">
        <v>332</v>
      </c>
      <c r="F109" t="s">
        <v>56</v>
      </c>
      <c r="G109" t="s">
        <v>335</v>
      </c>
      <c r="H109">
        <v>0</v>
      </c>
      <c r="I109">
        <v>0</v>
      </c>
      <c r="J109">
        <v>0</v>
      </c>
      <c r="K109">
        <v>0</v>
      </c>
      <c r="L109">
        <v>0</v>
      </c>
      <c r="Q109">
        <v>7.5</v>
      </c>
      <c r="R109">
        <v>2</v>
      </c>
      <c r="S109">
        <v>9.5</v>
      </c>
      <c r="T109">
        <v>3</v>
      </c>
      <c r="U109" s="1"/>
    </row>
    <row r="110" spans="1:21" x14ac:dyDescent="0.3">
      <c r="A110" t="s">
        <v>330</v>
      </c>
      <c r="B110" t="s">
        <v>53</v>
      </c>
      <c r="C110" t="s">
        <v>29</v>
      </c>
      <c r="D110" t="s">
        <v>331</v>
      </c>
      <c r="E110" t="s">
        <v>332</v>
      </c>
      <c r="F110" t="s">
        <v>56</v>
      </c>
      <c r="G110" t="s">
        <v>268</v>
      </c>
      <c r="H110">
        <v>0</v>
      </c>
      <c r="I110">
        <v>0</v>
      </c>
      <c r="J110">
        <v>0</v>
      </c>
      <c r="K110">
        <v>0</v>
      </c>
      <c r="L110">
        <v>0</v>
      </c>
      <c r="Q110">
        <v>7.5</v>
      </c>
      <c r="R110">
        <v>4</v>
      </c>
      <c r="S110">
        <v>9.5</v>
      </c>
      <c r="T110">
        <v>3</v>
      </c>
      <c r="U110" s="1"/>
    </row>
    <row r="111" spans="1:21" x14ac:dyDescent="0.3">
      <c r="A111" t="s">
        <v>330</v>
      </c>
      <c r="B111" t="s">
        <v>53</v>
      </c>
      <c r="C111" t="s">
        <v>29</v>
      </c>
      <c r="D111" t="s">
        <v>331</v>
      </c>
      <c r="E111" t="s">
        <v>332</v>
      </c>
      <c r="F111" t="s">
        <v>56</v>
      </c>
      <c r="G111" t="s">
        <v>336</v>
      </c>
      <c r="H111">
        <v>0</v>
      </c>
      <c r="I111">
        <v>0</v>
      </c>
      <c r="J111">
        <v>0</v>
      </c>
      <c r="K111">
        <v>0</v>
      </c>
      <c r="L111">
        <v>0</v>
      </c>
      <c r="Q111">
        <v>7.5</v>
      </c>
      <c r="R111">
        <v>4</v>
      </c>
      <c r="S111">
        <v>9.5</v>
      </c>
      <c r="T111">
        <v>3</v>
      </c>
      <c r="U111" s="1"/>
    </row>
    <row r="112" spans="1:21" x14ac:dyDescent="0.3">
      <c r="A112" t="s">
        <v>337</v>
      </c>
      <c r="B112" t="s">
        <v>21</v>
      </c>
      <c r="C112" t="s">
        <v>22</v>
      </c>
      <c r="D112" s="18" t="s">
        <v>338</v>
      </c>
      <c r="E112" s="10">
        <v>7316085780</v>
      </c>
      <c r="F112" t="s">
        <v>211</v>
      </c>
      <c r="G112" t="s">
        <v>339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21" x14ac:dyDescent="0.3">
      <c r="A113" t="s">
        <v>340</v>
      </c>
      <c r="B113" t="s">
        <v>21</v>
      </c>
      <c r="C113" t="s">
        <v>29</v>
      </c>
      <c r="D113" s="18" t="s">
        <v>341</v>
      </c>
      <c r="E113" s="10"/>
      <c r="F113" t="s">
        <v>25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21" x14ac:dyDescent="0.3">
      <c r="A114" t="s">
        <v>342</v>
      </c>
      <c r="B114" t="s">
        <v>53</v>
      </c>
      <c r="C114" t="s">
        <v>29</v>
      </c>
      <c r="D114" s="18" t="s">
        <v>343</v>
      </c>
      <c r="E114" s="10" t="s">
        <v>344</v>
      </c>
      <c r="F114" t="s">
        <v>56</v>
      </c>
      <c r="G114" t="s">
        <v>321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21" x14ac:dyDescent="0.3">
      <c r="A115" t="s">
        <v>345</v>
      </c>
      <c r="B115" t="s">
        <v>53</v>
      </c>
      <c r="C115" t="s">
        <v>22</v>
      </c>
      <c r="D115" t="s">
        <v>346</v>
      </c>
      <c r="E115" t="s">
        <v>347</v>
      </c>
      <c r="F115" t="s">
        <v>56</v>
      </c>
      <c r="G115" t="s">
        <v>348</v>
      </c>
      <c r="H115">
        <v>0</v>
      </c>
      <c r="I115">
        <v>0</v>
      </c>
      <c r="J115">
        <v>0</v>
      </c>
      <c r="K115">
        <v>0</v>
      </c>
      <c r="L115">
        <v>0</v>
      </c>
      <c r="Q115">
        <v>7</v>
      </c>
      <c r="R115">
        <v>3.5</v>
      </c>
      <c r="S115">
        <v>6.5</v>
      </c>
      <c r="T115">
        <v>1</v>
      </c>
      <c r="U115" s="1"/>
    </row>
    <row r="116" spans="1:21" x14ac:dyDescent="0.3">
      <c r="A116" t="s">
        <v>349</v>
      </c>
      <c r="B116" t="s">
        <v>21</v>
      </c>
      <c r="C116" t="s">
        <v>29</v>
      </c>
      <c r="D116" t="s">
        <v>350</v>
      </c>
      <c r="E116" t="s">
        <v>351</v>
      </c>
      <c r="F116" t="s">
        <v>92</v>
      </c>
      <c r="G116" t="s">
        <v>352</v>
      </c>
      <c r="H116">
        <v>0</v>
      </c>
      <c r="I116">
        <v>0</v>
      </c>
      <c r="J116">
        <v>0</v>
      </c>
      <c r="K116">
        <v>0</v>
      </c>
      <c r="L116">
        <v>0</v>
      </c>
      <c r="Q116">
        <v>13</v>
      </c>
      <c r="T116">
        <v>8</v>
      </c>
      <c r="U116" s="1"/>
    </row>
    <row r="117" spans="1:21" x14ac:dyDescent="0.3">
      <c r="A117" t="s">
        <v>349</v>
      </c>
      <c r="B117" t="s">
        <v>21</v>
      </c>
      <c r="C117" t="s">
        <v>29</v>
      </c>
      <c r="D117" t="s">
        <v>350</v>
      </c>
      <c r="E117" t="s">
        <v>351</v>
      </c>
      <c r="F117" t="s">
        <v>92</v>
      </c>
      <c r="G117" t="s">
        <v>254</v>
      </c>
      <c r="H117">
        <v>0</v>
      </c>
      <c r="I117">
        <v>0</v>
      </c>
      <c r="J117">
        <v>0</v>
      </c>
      <c r="K117">
        <v>0</v>
      </c>
      <c r="L117">
        <v>0</v>
      </c>
      <c r="Q117">
        <v>19</v>
      </c>
      <c r="T117">
        <v>14</v>
      </c>
      <c r="U117" s="1"/>
    </row>
    <row r="118" spans="1:21" x14ac:dyDescent="0.3">
      <c r="A118" t="s">
        <v>349</v>
      </c>
      <c r="B118" t="s">
        <v>21</v>
      </c>
      <c r="C118" t="s">
        <v>29</v>
      </c>
      <c r="D118" t="s">
        <v>350</v>
      </c>
      <c r="E118" t="s">
        <v>351</v>
      </c>
      <c r="F118" t="s">
        <v>92</v>
      </c>
      <c r="G118" t="s">
        <v>353</v>
      </c>
      <c r="H118">
        <v>0</v>
      </c>
      <c r="I118">
        <v>0</v>
      </c>
      <c r="J118">
        <v>0</v>
      </c>
      <c r="K118">
        <v>0</v>
      </c>
      <c r="L118">
        <v>0</v>
      </c>
      <c r="Q118">
        <v>21</v>
      </c>
      <c r="T118">
        <v>16</v>
      </c>
      <c r="U118" s="1"/>
    </row>
    <row r="119" spans="1:21" x14ac:dyDescent="0.3">
      <c r="A119" t="s">
        <v>349</v>
      </c>
      <c r="B119" t="s">
        <v>21</v>
      </c>
      <c r="C119" t="s">
        <v>29</v>
      </c>
      <c r="D119" t="s">
        <v>350</v>
      </c>
      <c r="E119" t="s">
        <v>351</v>
      </c>
      <c r="F119" t="s">
        <v>92</v>
      </c>
      <c r="G119" t="s">
        <v>354</v>
      </c>
      <c r="H119">
        <v>0</v>
      </c>
      <c r="I119">
        <v>0</v>
      </c>
      <c r="J119">
        <v>0</v>
      </c>
      <c r="K119">
        <v>0</v>
      </c>
      <c r="L119">
        <v>0</v>
      </c>
      <c r="Q119">
        <v>29</v>
      </c>
      <c r="T119">
        <v>20</v>
      </c>
      <c r="U119" s="1"/>
    </row>
    <row r="120" spans="1:21" x14ac:dyDescent="0.3">
      <c r="A120" t="s">
        <v>349</v>
      </c>
      <c r="B120" t="s">
        <v>21</v>
      </c>
      <c r="C120" t="s">
        <v>29</v>
      </c>
      <c r="D120" t="s">
        <v>350</v>
      </c>
      <c r="E120" t="s">
        <v>351</v>
      </c>
      <c r="F120" t="s">
        <v>92</v>
      </c>
      <c r="G120" t="s">
        <v>86</v>
      </c>
      <c r="H120">
        <v>0</v>
      </c>
      <c r="I120">
        <v>0</v>
      </c>
      <c r="J120">
        <v>0</v>
      </c>
      <c r="K120">
        <v>0</v>
      </c>
      <c r="L120">
        <v>0</v>
      </c>
      <c r="Q120">
        <v>33</v>
      </c>
      <c r="T120">
        <v>24</v>
      </c>
      <c r="U120" s="1"/>
    </row>
    <row r="121" spans="1:21" x14ac:dyDescent="0.3">
      <c r="A121" t="s">
        <v>355</v>
      </c>
      <c r="B121" t="s">
        <v>53</v>
      </c>
      <c r="C121" t="s">
        <v>29</v>
      </c>
      <c r="D121" t="s">
        <v>356</v>
      </c>
      <c r="E121" t="s">
        <v>357</v>
      </c>
      <c r="F121" t="s">
        <v>56</v>
      </c>
      <c r="G121" t="s">
        <v>358</v>
      </c>
      <c r="H121">
        <v>0</v>
      </c>
      <c r="I121">
        <v>0</v>
      </c>
      <c r="J121">
        <v>0</v>
      </c>
      <c r="K121">
        <v>0</v>
      </c>
      <c r="L121">
        <v>0</v>
      </c>
      <c r="Q121">
        <v>6</v>
      </c>
      <c r="T121">
        <v>16</v>
      </c>
      <c r="U121" s="1"/>
    </row>
    <row r="122" spans="1:21" x14ac:dyDescent="0.3">
      <c r="A122" t="s">
        <v>359</v>
      </c>
      <c r="B122" t="s">
        <v>21</v>
      </c>
      <c r="C122" t="s">
        <v>22</v>
      </c>
      <c r="D122" t="s">
        <v>360</v>
      </c>
      <c r="E122" t="s">
        <v>361</v>
      </c>
      <c r="F122" t="s">
        <v>142</v>
      </c>
      <c r="G122" t="s">
        <v>362</v>
      </c>
      <c r="H122">
        <v>0</v>
      </c>
      <c r="I122">
        <v>0</v>
      </c>
      <c r="J122">
        <v>0</v>
      </c>
      <c r="K122">
        <v>0</v>
      </c>
      <c r="L122">
        <v>0</v>
      </c>
      <c r="Q122">
        <v>6.5</v>
      </c>
      <c r="R122">
        <v>6</v>
      </c>
      <c r="S122">
        <v>3</v>
      </c>
      <c r="T122">
        <v>4</v>
      </c>
      <c r="U122" s="1"/>
    </row>
    <row r="123" spans="1:21" x14ac:dyDescent="0.3">
      <c r="A123" t="s">
        <v>363</v>
      </c>
      <c r="B123" t="s">
        <v>28</v>
      </c>
      <c r="C123" t="s">
        <v>22</v>
      </c>
      <c r="D123" t="s">
        <v>364</v>
      </c>
      <c r="E123" t="s">
        <v>365</v>
      </c>
      <c r="F123" t="s">
        <v>92</v>
      </c>
      <c r="G123" t="s">
        <v>366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8</v>
      </c>
      <c r="Q123">
        <v>6</v>
      </c>
      <c r="T123">
        <v>13</v>
      </c>
      <c r="U123" s="1"/>
    </row>
    <row r="124" spans="1:21" x14ac:dyDescent="0.3">
      <c r="A124" t="s">
        <v>367</v>
      </c>
      <c r="B124" t="s">
        <v>53</v>
      </c>
      <c r="C124" t="s">
        <v>29</v>
      </c>
      <c r="D124" t="s">
        <v>368</v>
      </c>
      <c r="E124" t="s">
        <v>369</v>
      </c>
      <c r="F124" t="s">
        <v>56</v>
      </c>
      <c r="G124" t="s">
        <v>370</v>
      </c>
      <c r="H124">
        <v>0</v>
      </c>
      <c r="I124">
        <v>0</v>
      </c>
      <c r="J124">
        <v>0</v>
      </c>
      <c r="K124">
        <v>0</v>
      </c>
      <c r="L124">
        <v>0</v>
      </c>
      <c r="Q124">
        <v>11</v>
      </c>
      <c r="T124">
        <v>0</v>
      </c>
      <c r="U124" s="1"/>
    </row>
    <row r="125" spans="1:21" x14ac:dyDescent="0.3">
      <c r="A125" t="s">
        <v>371</v>
      </c>
      <c r="B125" t="s">
        <v>21</v>
      </c>
      <c r="C125" t="s">
        <v>22</v>
      </c>
      <c r="D125" t="s">
        <v>372</v>
      </c>
      <c r="E125" t="s">
        <v>373</v>
      </c>
      <c r="F125" t="s">
        <v>374</v>
      </c>
      <c r="G125" t="s">
        <v>192</v>
      </c>
      <c r="H125">
        <v>0</v>
      </c>
      <c r="I125">
        <v>0</v>
      </c>
      <c r="J125">
        <v>0</v>
      </c>
      <c r="K125">
        <v>0</v>
      </c>
      <c r="L125">
        <v>0</v>
      </c>
      <c r="P125">
        <v>7</v>
      </c>
      <c r="Q125">
        <v>14</v>
      </c>
      <c r="T125">
        <v>8</v>
      </c>
      <c r="U125" s="1"/>
    </row>
    <row r="126" spans="1:21" x14ac:dyDescent="0.3">
      <c r="A126" t="s">
        <v>375</v>
      </c>
      <c r="B126" t="s">
        <v>21</v>
      </c>
      <c r="C126" t="s">
        <v>22</v>
      </c>
      <c r="D126" t="s">
        <v>376</v>
      </c>
      <c r="E126" t="s">
        <v>377</v>
      </c>
      <c r="F126" t="s">
        <v>137</v>
      </c>
      <c r="G126" t="s">
        <v>378</v>
      </c>
      <c r="H126">
        <v>0</v>
      </c>
      <c r="I126">
        <v>0</v>
      </c>
      <c r="J126">
        <v>0</v>
      </c>
      <c r="K126">
        <v>0</v>
      </c>
      <c r="L126">
        <v>0</v>
      </c>
      <c r="Q126">
        <v>15</v>
      </c>
      <c r="T126">
        <v>10</v>
      </c>
      <c r="U126" s="1"/>
    </row>
    <row r="127" spans="1:21" x14ac:dyDescent="0.3">
      <c r="A127" t="s">
        <v>375</v>
      </c>
      <c r="B127" t="s">
        <v>21</v>
      </c>
      <c r="C127" t="s">
        <v>22</v>
      </c>
      <c r="D127" t="s">
        <v>376</v>
      </c>
      <c r="E127" t="s">
        <v>377</v>
      </c>
      <c r="F127" t="s">
        <v>137</v>
      </c>
      <c r="G127" t="s">
        <v>379</v>
      </c>
      <c r="H127">
        <v>0</v>
      </c>
      <c r="I127">
        <v>0</v>
      </c>
      <c r="J127">
        <v>0</v>
      </c>
      <c r="K127">
        <v>0</v>
      </c>
      <c r="L127">
        <v>0</v>
      </c>
      <c r="Q127">
        <v>19</v>
      </c>
      <c r="T127">
        <v>20</v>
      </c>
      <c r="U127" s="1"/>
    </row>
    <row r="128" spans="1:21" x14ac:dyDescent="0.3">
      <c r="A128" s="2" t="s">
        <v>375</v>
      </c>
      <c r="B128" t="s">
        <v>21</v>
      </c>
      <c r="C128" t="s">
        <v>22</v>
      </c>
      <c r="D128" t="s">
        <v>376</v>
      </c>
      <c r="E128" t="s">
        <v>377</v>
      </c>
      <c r="F128" t="s">
        <v>137</v>
      </c>
      <c r="G128" t="s">
        <v>380</v>
      </c>
      <c r="H128">
        <v>0</v>
      </c>
      <c r="I128">
        <v>0</v>
      </c>
      <c r="J128">
        <v>0</v>
      </c>
      <c r="K128">
        <v>0</v>
      </c>
      <c r="L128">
        <v>0</v>
      </c>
      <c r="Q128">
        <v>23</v>
      </c>
      <c r="T128">
        <v>13</v>
      </c>
      <c r="U128" s="1"/>
    </row>
    <row r="129" spans="1:21" x14ac:dyDescent="0.3">
      <c r="A129" s="2" t="s">
        <v>381</v>
      </c>
      <c r="B129" t="s">
        <v>21</v>
      </c>
      <c r="C129" t="s">
        <v>22</v>
      </c>
      <c r="D129" t="s">
        <v>382</v>
      </c>
      <c r="E129" t="s">
        <v>383</v>
      </c>
      <c r="F129" t="s">
        <v>142</v>
      </c>
      <c r="G129" t="s">
        <v>225</v>
      </c>
      <c r="H129">
        <v>0</v>
      </c>
      <c r="I129">
        <v>0</v>
      </c>
      <c r="J129">
        <v>0</v>
      </c>
      <c r="K129">
        <v>0</v>
      </c>
      <c r="L129">
        <v>0</v>
      </c>
      <c r="P129">
        <v>10</v>
      </c>
      <c r="Q129">
        <v>20</v>
      </c>
      <c r="T129">
        <v>9</v>
      </c>
      <c r="U129" s="1"/>
    </row>
    <row r="130" spans="1:21" x14ac:dyDescent="0.3">
      <c r="A130" t="s">
        <v>384</v>
      </c>
      <c r="B130" t="s">
        <v>53</v>
      </c>
      <c r="C130" t="s">
        <v>22</v>
      </c>
      <c r="D130" t="s">
        <v>385</v>
      </c>
      <c r="E130" t="s">
        <v>386</v>
      </c>
      <c r="F130" t="s">
        <v>56</v>
      </c>
      <c r="G130" t="s">
        <v>387</v>
      </c>
      <c r="H130">
        <v>0</v>
      </c>
      <c r="I130">
        <v>0</v>
      </c>
      <c r="J130">
        <v>0</v>
      </c>
      <c r="K130">
        <v>0</v>
      </c>
      <c r="L130">
        <v>0</v>
      </c>
      <c r="Q130">
        <v>6</v>
      </c>
      <c r="T130">
        <v>13</v>
      </c>
      <c r="U130" s="1"/>
    </row>
    <row r="131" spans="1:21" x14ac:dyDescent="0.3">
      <c r="A131" t="s">
        <v>388</v>
      </c>
      <c r="B131" t="s">
        <v>21</v>
      </c>
      <c r="C131" t="s">
        <v>29</v>
      </c>
      <c r="D131" t="s">
        <v>389</v>
      </c>
      <c r="E131" t="s">
        <v>390</v>
      </c>
      <c r="F131" t="s">
        <v>266</v>
      </c>
      <c r="G131" t="s">
        <v>73</v>
      </c>
      <c r="H131">
        <v>0</v>
      </c>
      <c r="I131">
        <v>0</v>
      </c>
      <c r="J131">
        <v>0</v>
      </c>
      <c r="K131">
        <v>0</v>
      </c>
      <c r="L131">
        <v>0</v>
      </c>
      <c r="Q131">
        <v>9</v>
      </c>
      <c r="T131">
        <v>3</v>
      </c>
      <c r="U131" s="1"/>
    </row>
    <row r="132" spans="1:21" x14ac:dyDescent="0.3">
      <c r="A132" t="s">
        <v>388</v>
      </c>
      <c r="B132" t="s">
        <v>21</v>
      </c>
      <c r="C132" t="s">
        <v>29</v>
      </c>
      <c r="D132" t="s">
        <v>389</v>
      </c>
      <c r="E132" t="s">
        <v>390</v>
      </c>
      <c r="F132" t="s">
        <v>266</v>
      </c>
      <c r="G132" t="s">
        <v>226</v>
      </c>
      <c r="H132">
        <v>0</v>
      </c>
      <c r="I132">
        <v>0</v>
      </c>
      <c r="J132">
        <v>0</v>
      </c>
      <c r="K132">
        <v>0</v>
      </c>
      <c r="L132">
        <v>0</v>
      </c>
      <c r="U132" s="1"/>
    </row>
    <row r="133" spans="1:21" x14ac:dyDescent="0.3">
      <c r="A133" t="s">
        <v>388</v>
      </c>
      <c r="B133" t="s">
        <v>21</v>
      </c>
      <c r="C133" t="s">
        <v>29</v>
      </c>
      <c r="D133" t="s">
        <v>389</v>
      </c>
      <c r="E133" t="s">
        <v>390</v>
      </c>
      <c r="F133" t="s">
        <v>266</v>
      </c>
      <c r="G133" t="s">
        <v>391</v>
      </c>
      <c r="H133">
        <v>0</v>
      </c>
      <c r="I133">
        <v>0</v>
      </c>
      <c r="J133">
        <v>0</v>
      </c>
      <c r="K133">
        <v>0</v>
      </c>
      <c r="L133">
        <v>0</v>
      </c>
      <c r="Q133">
        <v>9</v>
      </c>
      <c r="T133">
        <v>3</v>
      </c>
      <c r="U133" s="1"/>
    </row>
    <row r="134" spans="1:21" x14ac:dyDescent="0.3">
      <c r="A134" t="s">
        <v>392</v>
      </c>
      <c r="B134" t="s">
        <v>21</v>
      </c>
      <c r="D134" s="18" t="s">
        <v>393</v>
      </c>
      <c r="E134" s="10" t="s">
        <v>394</v>
      </c>
      <c r="F134" t="s">
        <v>32</v>
      </c>
      <c r="G134" t="s">
        <v>395</v>
      </c>
      <c r="H134">
        <v>0</v>
      </c>
      <c r="I134">
        <v>0</v>
      </c>
      <c r="J134">
        <v>0</v>
      </c>
      <c r="K134">
        <v>0</v>
      </c>
      <c r="L134">
        <v>0</v>
      </c>
      <c r="O134">
        <v>9</v>
      </c>
    </row>
    <row r="135" spans="1:21" x14ac:dyDescent="0.3">
      <c r="A135" s="10" t="s">
        <v>396</v>
      </c>
      <c r="B135" t="s">
        <v>28</v>
      </c>
      <c r="C135" t="s">
        <v>22</v>
      </c>
      <c r="D135" s="18" t="s">
        <v>397</v>
      </c>
      <c r="E135" s="10" t="s">
        <v>398</v>
      </c>
      <c r="F135" t="s">
        <v>279</v>
      </c>
      <c r="G135" t="s">
        <v>399</v>
      </c>
      <c r="H135">
        <v>0</v>
      </c>
      <c r="I135">
        <v>0</v>
      </c>
      <c r="J135">
        <v>0</v>
      </c>
      <c r="K135">
        <v>0</v>
      </c>
      <c r="L135">
        <v>0</v>
      </c>
      <c r="O135">
        <v>6</v>
      </c>
    </row>
    <row r="136" spans="1:21" x14ac:dyDescent="0.3">
      <c r="A136" s="10" t="s">
        <v>396</v>
      </c>
      <c r="B136" t="s">
        <v>28</v>
      </c>
      <c r="C136" t="s">
        <v>22</v>
      </c>
      <c r="D136" s="18" t="s">
        <v>397</v>
      </c>
      <c r="E136" s="10" t="s">
        <v>398</v>
      </c>
      <c r="F136" t="s">
        <v>279</v>
      </c>
      <c r="G136" t="s">
        <v>400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6</v>
      </c>
    </row>
    <row r="137" spans="1:21" x14ac:dyDescent="0.3">
      <c r="A137" s="10" t="s">
        <v>396</v>
      </c>
      <c r="B137" t="s">
        <v>28</v>
      </c>
      <c r="C137" t="s">
        <v>22</v>
      </c>
      <c r="D137" s="18" t="s">
        <v>397</v>
      </c>
      <c r="E137" s="10" t="s">
        <v>398</v>
      </c>
      <c r="F137" t="s">
        <v>279</v>
      </c>
      <c r="G137" t="s">
        <v>400</v>
      </c>
      <c r="H137">
        <v>0</v>
      </c>
      <c r="I137">
        <v>0</v>
      </c>
      <c r="J137">
        <v>0</v>
      </c>
      <c r="K137">
        <v>0</v>
      </c>
      <c r="L137">
        <v>0</v>
      </c>
      <c r="O137">
        <v>9</v>
      </c>
    </row>
    <row r="138" spans="1:21" x14ac:dyDescent="0.3">
      <c r="A138" s="2" t="s">
        <v>401</v>
      </c>
      <c r="B138" t="s">
        <v>21</v>
      </c>
      <c r="C138" t="s">
        <v>22</v>
      </c>
      <c r="D138" t="s">
        <v>402</v>
      </c>
      <c r="E138" t="s">
        <v>403</v>
      </c>
      <c r="F138" t="s">
        <v>266</v>
      </c>
      <c r="G138" t="s">
        <v>268</v>
      </c>
      <c r="H138">
        <v>0</v>
      </c>
      <c r="I138">
        <v>0</v>
      </c>
      <c r="J138">
        <v>0</v>
      </c>
      <c r="K138">
        <v>0</v>
      </c>
      <c r="L138">
        <v>0</v>
      </c>
      <c r="Q138">
        <v>10</v>
      </c>
      <c r="T138">
        <v>4</v>
      </c>
      <c r="U138" s="1"/>
    </row>
    <row r="139" spans="1:21" x14ac:dyDescent="0.3">
      <c r="A139" s="10" t="s">
        <v>404</v>
      </c>
      <c r="F139" t="s">
        <v>266</v>
      </c>
      <c r="H139">
        <v>0</v>
      </c>
      <c r="I139">
        <v>0</v>
      </c>
      <c r="J139">
        <v>0</v>
      </c>
      <c r="K139">
        <v>0</v>
      </c>
      <c r="L139">
        <v>0</v>
      </c>
      <c r="U139" s="1"/>
    </row>
    <row r="140" spans="1:21" x14ac:dyDescent="0.3">
      <c r="A140" t="s">
        <v>405</v>
      </c>
      <c r="B140" t="s">
        <v>21</v>
      </c>
      <c r="D140" t="s">
        <v>406</v>
      </c>
      <c r="E140" t="s">
        <v>407</v>
      </c>
      <c r="F140" t="s">
        <v>408</v>
      </c>
      <c r="G140" t="s">
        <v>409</v>
      </c>
      <c r="H140">
        <v>0</v>
      </c>
      <c r="I140">
        <v>0</v>
      </c>
      <c r="J140">
        <v>0</v>
      </c>
      <c r="K140">
        <v>0</v>
      </c>
      <c r="L140">
        <v>0</v>
      </c>
      <c r="Q140">
        <v>10</v>
      </c>
      <c r="T140">
        <v>0</v>
      </c>
      <c r="U140" s="1"/>
    </row>
    <row r="141" spans="1:21" x14ac:dyDescent="0.3">
      <c r="A141" t="s">
        <v>405</v>
      </c>
      <c r="B141" t="s">
        <v>21</v>
      </c>
      <c r="D141" t="s">
        <v>406</v>
      </c>
      <c r="E141" t="s">
        <v>407</v>
      </c>
      <c r="F141" t="s">
        <v>408</v>
      </c>
      <c r="G141" t="s">
        <v>410</v>
      </c>
      <c r="H141">
        <v>0</v>
      </c>
      <c r="I141">
        <v>0</v>
      </c>
      <c r="J141">
        <v>0</v>
      </c>
      <c r="K141">
        <v>0</v>
      </c>
      <c r="L141">
        <v>0</v>
      </c>
      <c r="Q141">
        <v>13</v>
      </c>
      <c r="T141">
        <v>12</v>
      </c>
      <c r="U141" s="1"/>
    </row>
    <row r="142" spans="1:21" x14ac:dyDescent="0.3">
      <c r="A142" t="s">
        <v>405</v>
      </c>
      <c r="B142" t="s">
        <v>21</v>
      </c>
      <c r="D142" t="s">
        <v>406</v>
      </c>
      <c r="E142" t="s">
        <v>407</v>
      </c>
      <c r="F142" t="s">
        <v>408</v>
      </c>
      <c r="G142" t="s">
        <v>192</v>
      </c>
      <c r="H142">
        <v>0</v>
      </c>
      <c r="I142">
        <v>0</v>
      </c>
      <c r="J142">
        <v>0</v>
      </c>
      <c r="K142">
        <v>0</v>
      </c>
      <c r="L142">
        <v>0</v>
      </c>
      <c r="Q142">
        <v>14</v>
      </c>
      <c r="T142">
        <v>8</v>
      </c>
      <c r="U142" s="1"/>
    </row>
    <row r="143" spans="1:21" x14ac:dyDescent="0.3">
      <c r="A143" t="s">
        <v>405</v>
      </c>
      <c r="B143" t="s">
        <v>21</v>
      </c>
      <c r="D143" t="s">
        <v>406</v>
      </c>
      <c r="E143" t="s">
        <v>407</v>
      </c>
      <c r="F143" t="s">
        <v>408</v>
      </c>
      <c r="G143" t="s">
        <v>411</v>
      </c>
      <c r="H143">
        <v>0</v>
      </c>
      <c r="I143">
        <v>0</v>
      </c>
      <c r="J143">
        <v>0</v>
      </c>
      <c r="K143">
        <v>0</v>
      </c>
      <c r="L143">
        <v>0</v>
      </c>
      <c r="Q143">
        <v>14</v>
      </c>
      <c r="T143">
        <v>10</v>
      </c>
      <c r="U143" s="1"/>
    </row>
    <row r="144" spans="1:21" x14ac:dyDescent="0.3">
      <c r="A144" t="s">
        <v>405</v>
      </c>
      <c r="B144" t="s">
        <v>21</v>
      </c>
      <c r="D144" t="s">
        <v>406</v>
      </c>
      <c r="E144" t="s">
        <v>407</v>
      </c>
      <c r="F144" t="s">
        <v>408</v>
      </c>
      <c r="G144" t="s">
        <v>321</v>
      </c>
      <c r="H144">
        <v>0</v>
      </c>
      <c r="I144">
        <v>0</v>
      </c>
      <c r="J144">
        <v>0</v>
      </c>
      <c r="K144">
        <v>0</v>
      </c>
      <c r="L144">
        <v>0</v>
      </c>
      <c r="Q144">
        <v>16</v>
      </c>
      <c r="T144">
        <v>8</v>
      </c>
      <c r="U144" s="1"/>
    </row>
    <row r="145" spans="1:21" x14ac:dyDescent="0.3">
      <c r="A145" t="s">
        <v>405</v>
      </c>
      <c r="B145" t="s">
        <v>21</v>
      </c>
      <c r="D145" t="s">
        <v>406</v>
      </c>
      <c r="E145" t="s">
        <v>407</v>
      </c>
      <c r="F145" t="s">
        <v>408</v>
      </c>
      <c r="G145" t="s">
        <v>412</v>
      </c>
      <c r="H145">
        <v>0</v>
      </c>
      <c r="I145">
        <v>0</v>
      </c>
      <c r="J145">
        <v>0</v>
      </c>
      <c r="K145">
        <v>0</v>
      </c>
      <c r="L145">
        <v>0</v>
      </c>
      <c r="Q145">
        <v>17</v>
      </c>
      <c r="T145">
        <v>16</v>
      </c>
      <c r="U145" s="1"/>
    </row>
    <row r="146" spans="1:21" x14ac:dyDescent="0.3">
      <c r="A146" s="2" t="s">
        <v>413</v>
      </c>
      <c r="B146" t="s">
        <v>28</v>
      </c>
      <c r="D146" s="18" t="s">
        <v>414</v>
      </c>
      <c r="E146" s="10" t="s">
        <v>415</v>
      </c>
      <c r="F146" t="s">
        <v>92</v>
      </c>
      <c r="G146" t="s">
        <v>416</v>
      </c>
      <c r="H146">
        <v>0</v>
      </c>
      <c r="I146">
        <v>0</v>
      </c>
      <c r="J146">
        <v>0</v>
      </c>
      <c r="K146">
        <v>0</v>
      </c>
      <c r="L146">
        <v>0</v>
      </c>
      <c r="U146" s="1"/>
    </row>
    <row r="147" spans="1:21" x14ac:dyDescent="0.3">
      <c r="A147" t="s">
        <v>417</v>
      </c>
      <c r="B147" t="s">
        <v>21</v>
      </c>
      <c r="C147" t="s">
        <v>22</v>
      </c>
      <c r="D147" t="s">
        <v>418</v>
      </c>
      <c r="E147" t="s">
        <v>419</v>
      </c>
      <c r="F147" t="s">
        <v>25</v>
      </c>
      <c r="G147" t="s">
        <v>420</v>
      </c>
      <c r="H147">
        <v>0</v>
      </c>
      <c r="I147">
        <v>0</v>
      </c>
      <c r="J147">
        <v>0</v>
      </c>
      <c r="K147">
        <v>0</v>
      </c>
      <c r="L147">
        <v>0</v>
      </c>
      <c r="Q147">
        <v>20</v>
      </c>
      <c r="T147">
        <v>14</v>
      </c>
      <c r="U147" s="1"/>
    </row>
    <row r="148" spans="1:21" x14ac:dyDescent="0.3">
      <c r="A148" t="s">
        <v>421</v>
      </c>
      <c r="B148" t="s">
        <v>21</v>
      </c>
      <c r="C148" t="s">
        <v>22</v>
      </c>
      <c r="D148" s="18" t="s">
        <v>422</v>
      </c>
      <c r="E148" s="10" t="s">
        <v>423</v>
      </c>
      <c r="F148" t="s">
        <v>142</v>
      </c>
      <c r="G148" t="s">
        <v>424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21" x14ac:dyDescent="0.3">
      <c r="A149" t="s">
        <v>425</v>
      </c>
      <c r="B149" t="s">
        <v>28</v>
      </c>
      <c r="C149" t="s">
        <v>22</v>
      </c>
      <c r="D149" t="s">
        <v>426</v>
      </c>
      <c r="E149" t="s">
        <v>427</v>
      </c>
      <c r="F149" t="s">
        <v>25</v>
      </c>
      <c r="G149" t="s">
        <v>428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5</v>
      </c>
      <c r="Q149">
        <v>10</v>
      </c>
      <c r="T149">
        <v>2</v>
      </c>
      <c r="U149" s="1"/>
    </row>
    <row r="150" spans="1:21" x14ac:dyDescent="0.3">
      <c r="A150" t="s">
        <v>429</v>
      </c>
      <c r="B150" t="s">
        <v>21</v>
      </c>
      <c r="D150" s="10"/>
      <c r="F150" t="s">
        <v>25</v>
      </c>
      <c r="G150" t="s">
        <v>430</v>
      </c>
      <c r="H150">
        <v>0</v>
      </c>
      <c r="I150">
        <v>0</v>
      </c>
      <c r="J150">
        <v>0</v>
      </c>
      <c r="K150">
        <v>0</v>
      </c>
      <c r="L150">
        <v>0</v>
      </c>
      <c r="P150">
        <v>10</v>
      </c>
    </row>
    <row r="151" spans="1:21" x14ac:dyDescent="0.3">
      <c r="A151" t="s">
        <v>431</v>
      </c>
      <c r="B151" t="s">
        <v>28</v>
      </c>
      <c r="C151" t="s">
        <v>29</v>
      </c>
      <c r="D151" t="s">
        <v>432</v>
      </c>
      <c r="E151" t="s">
        <v>433</v>
      </c>
      <c r="F151" t="s">
        <v>92</v>
      </c>
      <c r="G151" t="s">
        <v>434</v>
      </c>
      <c r="H151">
        <v>0</v>
      </c>
      <c r="I151">
        <v>0</v>
      </c>
      <c r="J151">
        <v>0</v>
      </c>
      <c r="K151">
        <v>0</v>
      </c>
      <c r="L151">
        <v>0</v>
      </c>
      <c r="Q151">
        <v>14</v>
      </c>
      <c r="T151">
        <v>21</v>
      </c>
      <c r="U151" s="1"/>
    </row>
    <row r="152" spans="1:21" x14ac:dyDescent="0.3">
      <c r="A152" s="7" t="s">
        <v>435</v>
      </c>
      <c r="B152" t="s">
        <v>28</v>
      </c>
      <c r="C152" t="s">
        <v>29</v>
      </c>
      <c r="D152" s="18" t="s">
        <v>436</v>
      </c>
      <c r="E152" s="10" t="s">
        <v>437</v>
      </c>
      <c r="F152" t="s">
        <v>32</v>
      </c>
      <c r="G152" t="s">
        <v>438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8</v>
      </c>
    </row>
    <row r="153" spans="1:21" x14ac:dyDescent="0.3">
      <c r="A153" t="s">
        <v>439</v>
      </c>
      <c r="B153" t="s">
        <v>21</v>
      </c>
      <c r="D153" s="18" t="s">
        <v>440</v>
      </c>
      <c r="E153" s="10" t="s">
        <v>441</v>
      </c>
      <c r="F153" t="s">
        <v>279</v>
      </c>
      <c r="G153" t="s">
        <v>442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21" x14ac:dyDescent="0.3">
      <c r="A154" t="s">
        <v>446</v>
      </c>
      <c r="B154" t="s">
        <v>28</v>
      </c>
      <c r="C154" t="s">
        <v>22</v>
      </c>
      <c r="D154" t="s">
        <v>451</v>
      </c>
      <c r="E154" t="s">
        <v>452</v>
      </c>
      <c r="F154" t="s">
        <v>38</v>
      </c>
      <c r="G154" t="s">
        <v>453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8</v>
      </c>
      <c r="Q154">
        <v>6</v>
      </c>
      <c r="T154">
        <v>16</v>
      </c>
      <c r="U154" s="1"/>
    </row>
    <row r="155" spans="1:21" x14ac:dyDescent="0.3">
      <c r="A155" t="s">
        <v>446</v>
      </c>
      <c r="B155" t="s">
        <v>28</v>
      </c>
      <c r="C155" t="s">
        <v>22</v>
      </c>
      <c r="D155" t="s">
        <v>451</v>
      </c>
      <c r="E155" t="s">
        <v>452</v>
      </c>
      <c r="F155" t="s">
        <v>38</v>
      </c>
      <c r="G155" t="s">
        <v>696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8</v>
      </c>
      <c r="Q155">
        <v>6</v>
      </c>
      <c r="T155">
        <v>16</v>
      </c>
      <c r="U155" s="1"/>
    </row>
    <row r="156" spans="1:21" x14ac:dyDescent="0.3">
      <c r="A156" s="7" t="s">
        <v>450</v>
      </c>
      <c r="B156" t="s">
        <v>21</v>
      </c>
      <c r="C156" t="s">
        <v>22</v>
      </c>
      <c r="D156" t="s">
        <v>455</v>
      </c>
      <c r="E156" t="s">
        <v>456</v>
      </c>
      <c r="F156" t="s">
        <v>142</v>
      </c>
      <c r="G156" t="s">
        <v>268</v>
      </c>
      <c r="H156">
        <v>0</v>
      </c>
      <c r="I156">
        <v>0</v>
      </c>
      <c r="J156">
        <v>0</v>
      </c>
      <c r="K156">
        <v>0</v>
      </c>
      <c r="L156">
        <v>0</v>
      </c>
      <c r="P156">
        <v>9</v>
      </c>
      <c r="Q156">
        <v>33</v>
      </c>
      <c r="T156">
        <v>25</v>
      </c>
      <c r="U156" s="1"/>
    </row>
    <row r="157" spans="1:21" x14ac:dyDescent="0.3">
      <c r="A157" t="s">
        <v>454</v>
      </c>
      <c r="B157" t="s">
        <v>21</v>
      </c>
      <c r="C157" t="s">
        <v>22</v>
      </c>
      <c r="D157" t="s">
        <v>458</v>
      </c>
      <c r="E157" t="s">
        <v>459</v>
      </c>
      <c r="F157" t="s">
        <v>25</v>
      </c>
      <c r="G157" t="s">
        <v>460</v>
      </c>
      <c r="H157">
        <v>0</v>
      </c>
      <c r="I157">
        <v>0</v>
      </c>
      <c r="J157">
        <v>0</v>
      </c>
      <c r="K157">
        <v>0</v>
      </c>
      <c r="L157">
        <v>0</v>
      </c>
      <c r="Q157" s="1">
        <v>17.75</v>
      </c>
      <c r="R157" s="1"/>
      <c r="S157" s="1"/>
      <c r="T157" s="1">
        <v>10.25</v>
      </c>
      <c r="U157" s="1"/>
    </row>
    <row r="158" spans="1:21" x14ac:dyDescent="0.3">
      <c r="A158" s="2" t="s">
        <v>457</v>
      </c>
      <c r="B158" t="s">
        <v>21</v>
      </c>
      <c r="C158" t="s">
        <v>22</v>
      </c>
      <c r="D158" t="s">
        <v>458</v>
      </c>
      <c r="E158" t="s">
        <v>459</v>
      </c>
      <c r="F158" t="s">
        <v>25</v>
      </c>
      <c r="G158" t="s">
        <v>461</v>
      </c>
      <c r="H158">
        <v>0</v>
      </c>
      <c r="I158">
        <v>0</v>
      </c>
      <c r="J158">
        <v>0</v>
      </c>
      <c r="K158">
        <v>0</v>
      </c>
      <c r="L158">
        <v>0</v>
      </c>
      <c r="Q158" s="1">
        <v>19.75</v>
      </c>
      <c r="R158" s="1"/>
      <c r="S158" s="1"/>
      <c r="T158" s="1">
        <v>15.75</v>
      </c>
      <c r="U158" s="1"/>
    </row>
    <row r="159" spans="1:21" x14ac:dyDescent="0.3">
      <c r="A159" t="s">
        <v>457</v>
      </c>
      <c r="B159" t="s">
        <v>21</v>
      </c>
      <c r="C159" t="s">
        <v>22</v>
      </c>
      <c r="D159" t="s">
        <v>458</v>
      </c>
      <c r="E159" t="s">
        <v>459</v>
      </c>
      <c r="F159" t="s">
        <v>25</v>
      </c>
      <c r="G159" t="s">
        <v>461</v>
      </c>
      <c r="H159">
        <v>0</v>
      </c>
      <c r="I159">
        <v>0</v>
      </c>
      <c r="J159">
        <v>0</v>
      </c>
      <c r="K159">
        <v>0</v>
      </c>
      <c r="L159">
        <v>0</v>
      </c>
      <c r="Q159" s="1">
        <v>19.75</v>
      </c>
      <c r="R159" s="1"/>
      <c r="S159" s="1"/>
      <c r="T159" s="1">
        <v>15.75</v>
      </c>
      <c r="U159" s="1"/>
    </row>
    <row r="160" spans="1:21" x14ac:dyDescent="0.3">
      <c r="A160" t="s">
        <v>457</v>
      </c>
      <c r="B160" t="s">
        <v>21</v>
      </c>
      <c r="C160" t="s">
        <v>22</v>
      </c>
      <c r="D160" t="s">
        <v>458</v>
      </c>
      <c r="E160" t="s">
        <v>459</v>
      </c>
      <c r="F160" t="s">
        <v>25</v>
      </c>
      <c r="G160" t="s">
        <v>462</v>
      </c>
      <c r="H160">
        <v>0</v>
      </c>
      <c r="I160">
        <v>0</v>
      </c>
      <c r="J160">
        <v>0</v>
      </c>
      <c r="K160">
        <v>0</v>
      </c>
      <c r="L160">
        <v>0</v>
      </c>
      <c r="Q160" s="1">
        <v>21.75</v>
      </c>
      <c r="R160" s="1"/>
      <c r="S160" s="1"/>
      <c r="T160" s="1">
        <v>14.75</v>
      </c>
      <c r="U160" s="1"/>
    </row>
    <row r="161" spans="1:21" x14ac:dyDescent="0.3">
      <c r="A161" t="s">
        <v>457</v>
      </c>
      <c r="B161" t="s">
        <v>28</v>
      </c>
      <c r="C161" t="s">
        <v>29</v>
      </c>
      <c r="D161" s="18" t="s">
        <v>464</v>
      </c>
      <c r="E161" s="10" t="s">
        <v>465</v>
      </c>
      <c r="F161" t="s">
        <v>92</v>
      </c>
      <c r="G161" t="s">
        <v>466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21" x14ac:dyDescent="0.3">
      <c r="A162" t="s">
        <v>463</v>
      </c>
      <c r="B162" t="s">
        <v>53</v>
      </c>
      <c r="C162" t="s">
        <v>29</v>
      </c>
      <c r="D162" t="s">
        <v>468</v>
      </c>
      <c r="E162" t="s">
        <v>469</v>
      </c>
      <c r="F162" t="s">
        <v>56</v>
      </c>
      <c r="G162" t="s">
        <v>470</v>
      </c>
      <c r="H162">
        <v>0</v>
      </c>
      <c r="I162">
        <v>0</v>
      </c>
      <c r="J162">
        <v>0</v>
      </c>
      <c r="K162">
        <v>0</v>
      </c>
      <c r="L162">
        <v>0</v>
      </c>
      <c r="Q162">
        <v>10</v>
      </c>
      <c r="R162">
        <v>3</v>
      </c>
      <c r="S162">
        <v>9.5</v>
      </c>
      <c r="T162">
        <v>4</v>
      </c>
      <c r="U162" s="1"/>
    </row>
    <row r="163" spans="1:21" x14ac:dyDescent="0.3">
      <c r="A163" t="s">
        <v>467</v>
      </c>
      <c r="B163" t="s">
        <v>28</v>
      </c>
      <c r="C163" t="s">
        <v>22</v>
      </c>
      <c r="E163" t="s">
        <v>472</v>
      </c>
      <c r="F163" t="s">
        <v>473</v>
      </c>
      <c r="H163">
        <v>0</v>
      </c>
      <c r="I163">
        <v>0</v>
      </c>
      <c r="J163">
        <v>0</v>
      </c>
      <c r="K163">
        <v>0</v>
      </c>
      <c r="L163">
        <v>0</v>
      </c>
      <c r="U163" s="1"/>
    </row>
    <row r="164" spans="1:21" x14ac:dyDescent="0.3">
      <c r="A164" t="s">
        <v>471</v>
      </c>
      <c r="B164" t="s">
        <v>113</v>
      </c>
      <c r="C164" t="s">
        <v>22</v>
      </c>
      <c r="D164" t="s">
        <v>475</v>
      </c>
      <c r="E164" t="s">
        <v>476</v>
      </c>
      <c r="F164" t="s">
        <v>477</v>
      </c>
      <c r="G164" t="s">
        <v>478</v>
      </c>
      <c r="H164">
        <v>0</v>
      </c>
      <c r="I164">
        <v>0</v>
      </c>
      <c r="J164">
        <v>0</v>
      </c>
      <c r="K164">
        <v>0</v>
      </c>
      <c r="L164">
        <v>0</v>
      </c>
      <c r="Q164">
        <v>6</v>
      </c>
      <c r="T164">
        <v>7</v>
      </c>
      <c r="U164" s="1"/>
    </row>
    <row r="165" spans="1:21" x14ac:dyDescent="0.3">
      <c r="A165" t="s">
        <v>474</v>
      </c>
      <c r="B165" t="s">
        <v>21</v>
      </c>
      <c r="C165" t="s">
        <v>29</v>
      </c>
      <c r="D165" t="s">
        <v>480</v>
      </c>
      <c r="E165" t="s">
        <v>481</v>
      </c>
      <c r="F165" t="s">
        <v>482</v>
      </c>
      <c r="G165" t="s">
        <v>409</v>
      </c>
      <c r="H165">
        <v>0</v>
      </c>
      <c r="I165">
        <v>0</v>
      </c>
      <c r="J165">
        <v>0</v>
      </c>
      <c r="K165">
        <v>0</v>
      </c>
      <c r="L165">
        <v>0</v>
      </c>
      <c r="Q165">
        <v>7.5</v>
      </c>
      <c r="R165">
        <v>2.5</v>
      </c>
      <c r="S165">
        <v>6.5</v>
      </c>
      <c r="T165">
        <v>0</v>
      </c>
      <c r="U165" s="1"/>
    </row>
    <row r="166" spans="1:21" x14ac:dyDescent="0.3">
      <c r="A166" t="s">
        <v>479</v>
      </c>
      <c r="B166" t="s">
        <v>21</v>
      </c>
      <c r="C166" t="s">
        <v>29</v>
      </c>
      <c r="D166" t="s">
        <v>480</v>
      </c>
      <c r="E166" t="s">
        <v>481</v>
      </c>
      <c r="F166" t="s">
        <v>482</v>
      </c>
      <c r="G166" t="s">
        <v>353</v>
      </c>
      <c r="H166">
        <v>0</v>
      </c>
      <c r="I166">
        <v>0</v>
      </c>
      <c r="J166">
        <v>0</v>
      </c>
      <c r="K166">
        <v>0</v>
      </c>
      <c r="L166">
        <v>0</v>
      </c>
      <c r="Q166">
        <v>17.5</v>
      </c>
      <c r="R166">
        <v>11</v>
      </c>
      <c r="S166">
        <v>16.5</v>
      </c>
      <c r="T166">
        <v>11.5</v>
      </c>
      <c r="U166" s="1"/>
    </row>
    <row r="167" spans="1:21" x14ac:dyDescent="0.3">
      <c r="A167" t="s">
        <v>479</v>
      </c>
      <c r="B167" t="s">
        <v>21</v>
      </c>
      <c r="C167" t="s">
        <v>29</v>
      </c>
      <c r="D167" t="s">
        <v>480</v>
      </c>
      <c r="E167" t="s">
        <v>481</v>
      </c>
      <c r="F167" t="s">
        <v>482</v>
      </c>
      <c r="G167" t="s">
        <v>483</v>
      </c>
      <c r="H167">
        <v>0</v>
      </c>
      <c r="I167">
        <v>0</v>
      </c>
      <c r="J167">
        <v>0</v>
      </c>
      <c r="K167">
        <v>0</v>
      </c>
      <c r="L167">
        <v>0</v>
      </c>
      <c r="Q167">
        <v>25.5</v>
      </c>
      <c r="R167">
        <v>17.5</v>
      </c>
      <c r="S167">
        <v>25.5</v>
      </c>
      <c r="T167">
        <v>20</v>
      </c>
      <c r="U167" s="1"/>
    </row>
    <row r="168" spans="1:21" x14ac:dyDescent="0.3">
      <c r="A168" t="s">
        <v>479</v>
      </c>
      <c r="B168" t="s">
        <v>53</v>
      </c>
      <c r="D168" t="s">
        <v>485</v>
      </c>
      <c r="E168" t="s">
        <v>486</v>
      </c>
      <c r="F168" t="s">
        <v>56</v>
      </c>
      <c r="G168" t="s">
        <v>487</v>
      </c>
      <c r="H168">
        <v>0</v>
      </c>
      <c r="I168">
        <v>0</v>
      </c>
      <c r="J168">
        <v>0</v>
      </c>
      <c r="K168">
        <v>0</v>
      </c>
      <c r="L168">
        <v>0</v>
      </c>
      <c r="Q168">
        <v>14</v>
      </c>
      <c r="T168">
        <v>3</v>
      </c>
      <c r="U168" s="1"/>
    </row>
    <row r="169" spans="1:21" x14ac:dyDescent="0.3">
      <c r="A169" t="s">
        <v>484</v>
      </c>
      <c r="B169" t="s">
        <v>28</v>
      </c>
      <c r="C169" t="s">
        <v>29</v>
      </c>
      <c r="D169" t="s">
        <v>489</v>
      </c>
      <c r="E169" t="s">
        <v>490</v>
      </c>
      <c r="F169" t="s">
        <v>155</v>
      </c>
      <c r="G169" t="s">
        <v>491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4</v>
      </c>
      <c r="Q169">
        <v>9</v>
      </c>
      <c r="T169">
        <v>19</v>
      </c>
      <c r="U169" s="1"/>
    </row>
    <row r="170" spans="1:21" x14ac:dyDescent="0.3">
      <c r="A170" t="s">
        <v>488</v>
      </c>
      <c r="B170" t="s">
        <v>21</v>
      </c>
      <c r="C170" t="s">
        <v>22</v>
      </c>
      <c r="D170" s="18" t="s">
        <v>494</v>
      </c>
      <c r="E170" s="10" t="s">
        <v>495</v>
      </c>
      <c r="F170" t="s">
        <v>25</v>
      </c>
      <c r="G170" t="s">
        <v>496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21" x14ac:dyDescent="0.3">
      <c r="A171" t="s">
        <v>493</v>
      </c>
      <c r="B171" t="s">
        <v>21</v>
      </c>
      <c r="C171" t="s">
        <v>29</v>
      </c>
      <c r="D171" t="s">
        <v>498</v>
      </c>
      <c r="E171" t="s">
        <v>221</v>
      </c>
      <c r="F171" t="s">
        <v>142</v>
      </c>
      <c r="G171" t="s">
        <v>499</v>
      </c>
      <c r="H171">
        <v>0</v>
      </c>
      <c r="I171">
        <v>0</v>
      </c>
      <c r="J171">
        <v>0</v>
      </c>
      <c r="K171">
        <v>0</v>
      </c>
      <c r="L171">
        <v>0</v>
      </c>
      <c r="Q171">
        <v>6</v>
      </c>
      <c r="T171">
        <v>14</v>
      </c>
      <c r="U171" s="1"/>
    </row>
    <row r="172" spans="1:21" x14ac:dyDescent="0.3">
      <c r="A172" t="s">
        <v>497</v>
      </c>
      <c r="B172" t="s">
        <v>53</v>
      </c>
      <c r="C172" t="s">
        <v>29</v>
      </c>
      <c r="D172" s="10" t="s">
        <v>501</v>
      </c>
      <c r="E172" s="10" t="s">
        <v>502</v>
      </c>
      <c r="F172" t="s">
        <v>56</v>
      </c>
      <c r="G172" t="s">
        <v>503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21" x14ac:dyDescent="0.3">
      <c r="A173" t="s">
        <v>500</v>
      </c>
      <c r="B173" t="s">
        <v>21</v>
      </c>
      <c r="C173" t="s">
        <v>22</v>
      </c>
      <c r="D173" s="18" t="s">
        <v>688</v>
      </c>
      <c r="E173" s="10" t="s">
        <v>689</v>
      </c>
      <c r="F173" t="s">
        <v>43</v>
      </c>
      <c r="G173" t="s">
        <v>690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21" x14ac:dyDescent="0.3">
      <c r="A174" t="s">
        <v>687</v>
      </c>
      <c r="B174" t="s">
        <v>21</v>
      </c>
      <c r="D174" s="10" t="s">
        <v>693</v>
      </c>
      <c r="E174" s="10" t="s">
        <v>692</v>
      </c>
      <c r="F174" t="s">
        <v>43</v>
      </c>
      <c r="G174" t="s">
        <v>694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21" x14ac:dyDescent="0.3">
      <c r="A175" s="10" t="s">
        <v>691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21" x14ac:dyDescent="0.3">
      <c r="H176">
        <f>SUM(H2:H4)</f>
        <v>45</v>
      </c>
    </row>
  </sheetData>
  <autoFilter ref="A1:U172" xr:uid="{E6B94256-6987-42BF-B5A4-CCFB3DECE18D}">
    <sortState xmlns:xlrd2="http://schemas.microsoft.com/office/spreadsheetml/2017/richdata2" ref="A2:U175">
      <sortCondition ref="M1:M172"/>
    </sortState>
  </autoFilter>
  <hyperlinks>
    <hyperlink ref="D26" r:id="rId1" xr:uid="{1FD69108-0FE7-4B79-B6D0-3FAAA03CD0D1}"/>
    <hyperlink ref="D153" r:id="rId2" xr:uid="{C0C51D99-8A76-46DE-A184-C5BFDDE0060C}"/>
    <hyperlink ref="D136" r:id="rId3" xr:uid="{5E426AA3-37CD-4794-B5A4-1E2D5BE1C24E}"/>
    <hyperlink ref="D137" r:id="rId4" xr:uid="{557C8EA4-3122-4F2A-B13D-334C9F93DC7F}"/>
    <hyperlink ref="D31" r:id="rId5" xr:uid="{FB0896C7-D72B-42ED-80E2-86ABC76439A0}"/>
    <hyperlink ref="D135" r:id="rId6" xr:uid="{F118DE40-5C39-4EAB-B57B-2FB01E3EDE4F}"/>
    <hyperlink ref="D2" r:id="rId7" xr:uid="{FBC46164-157E-4A38-9198-D71D9BD535A8}"/>
    <hyperlink ref="D170" r:id="rId8" display="tyler@w2energyservices.com" xr:uid="{5DA3AA5C-ED15-4796-9BB7-71FCE1803494}"/>
    <hyperlink ref="D112" r:id="rId9" xr:uid="{8424CEC3-9C66-48E3-A5F5-0E7DD1A57EEE}"/>
    <hyperlink ref="D113" r:id="rId10" xr:uid="{AA01314A-A65C-4555-9FE0-BDEA4D7EC09F}"/>
    <hyperlink ref="D54" r:id="rId11" xr:uid="{F3D994C0-C95A-4CA1-A98C-F5479DF0CA97}"/>
    <hyperlink ref="D95" r:id="rId12" xr:uid="{A6F8F02E-4A54-4F96-97B4-8F65B9EB2404}"/>
    <hyperlink ref="D6" r:id="rId13" xr:uid="{FF1A5F24-FC60-4289-8D0E-F5862CB2A22E}"/>
    <hyperlink ref="D105" r:id="rId14" xr:uid="{22853D87-46B1-4A82-8FCA-7A2E6F2C30E3}"/>
    <hyperlink ref="D148" r:id="rId15" display="readelectric@aol.com" xr:uid="{4BBEA491-83DC-48BE-BE55-2E2D87E2C674}"/>
    <hyperlink ref="D146" r:id="rId16" xr:uid="{997443E5-2CD8-4AF8-AFEA-470D177BFB9D}"/>
    <hyperlink ref="D161" r:id="rId17" xr:uid="{FDF2FA6A-6B8B-4ED9-BCAC-EB6A9E3E9020}"/>
    <hyperlink ref="D21" r:id="rId18" xr:uid="{82D62EC0-133D-486B-A581-9BEAD7BDFE28}"/>
    <hyperlink ref="D99" r:id="rId19" xr:uid="{52164723-35ED-4A36-83E6-01DC4AC543DC}"/>
    <hyperlink ref="D173" r:id="rId20" xr:uid="{E1F8A467-FA3C-4C8C-A1E6-644E739C44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3977-C54D-4553-AEB2-D5CA68450270}">
  <sheetPr filterMode="1"/>
  <dimension ref="A1:S60"/>
  <sheetViews>
    <sheetView workbookViewId="0">
      <selection activeCell="A50" sqref="A50:F61"/>
    </sheetView>
  </sheetViews>
  <sheetFormatPr defaultRowHeight="14.4" x14ac:dyDescent="0.3"/>
  <cols>
    <col min="1" max="1" width="31.44140625" bestFit="1" customWidth="1"/>
    <col min="2" max="2" width="11.109375" bestFit="1" customWidth="1"/>
    <col min="4" max="4" width="37.33203125" bestFit="1" customWidth="1"/>
    <col min="7" max="7" width="20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hidden="1" x14ac:dyDescent="0.3">
      <c r="A2" s="41" t="s">
        <v>20</v>
      </c>
      <c r="B2" t="s">
        <v>21</v>
      </c>
      <c r="C2" t="s">
        <v>22</v>
      </c>
      <c r="D2" s="18" t="s">
        <v>23</v>
      </c>
      <c r="E2" s="10" t="s">
        <v>24</v>
      </c>
      <c r="F2" t="s">
        <v>25</v>
      </c>
      <c r="G2" t="s">
        <v>26</v>
      </c>
      <c r="H2">
        <v>24</v>
      </c>
      <c r="I2">
        <v>8</v>
      </c>
      <c r="J2">
        <v>2</v>
      </c>
      <c r="K2">
        <v>2</v>
      </c>
      <c r="L2">
        <v>0</v>
      </c>
    </row>
    <row r="3" spans="1:19" x14ac:dyDescent="0.3">
      <c r="A3" s="7" t="s">
        <v>27</v>
      </c>
      <c r="B3" s="7" t="s">
        <v>28</v>
      </c>
      <c r="C3" s="7" t="s">
        <v>29</v>
      </c>
      <c r="D3" s="44" t="s">
        <v>30</v>
      </c>
      <c r="E3" s="40" t="s">
        <v>31</v>
      </c>
      <c r="F3" s="7" t="s">
        <v>32</v>
      </c>
      <c r="G3" s="7" t="s">
        <v>33</v>
      </c>
      <c r="H3" s="7">
        <v>8</v>
      </c>
      <c r="I3" s="7">
        <v>3</v>
      </c>
      <c r="J3" s="7">
        <v>1</v>
      </c>
      <c r="K3" s="7">
        <v>0</v>
      </c>
      <c r="L3" s="7">
        <v>0</v>
      </c>
      <c r="M3" s="7">
        <v>10</v>
      </c>
      <c r="N3" s="7"/>
      <c r="O3" s="7"/>
      <c r="P3" s="7"/>
      <c r="Q3" s="7"/>
      <c r="R3" s="7"/>
      <c r="S3" s="7"/>
    </row>
    <row r="4" spans="1:19" x14ac:dyDescent="0.3">
      <c r="A4" s="7" t="s">
        <v>27</v>
      </c>
      <c r="B4" s="7" t="s">
        <v>28</v>
      </c>
      <c r="C4" s="7" t="s">
        <v>29</v>
      </c>
      <c r="D4" s="44" t="s">
        <v>30</v>
      </c>
      <c r="E4" s="40" t="s">
        <v>31</v>
      </c>
      <c r="F4" s="7" t="s">
        <v>32</v>
      </c>
      <c r="G4" s="7" t="s">
        <v>34</v>
      </c>
      <c r="H4" s="7">
        <v>8</v>
      </c>
      <c r="I4" s="7">
        <v>3</v>
      </c>
      <c r="J4" s="7">
        <v>2</v>
      </c>
      <c r="K4" s="7">
        <v>0</v>
      </c>
      <c r="L4" s="7">
        <v>0</v>
      </c>
      <c r="M4" s="7">
        <v>11</v>
      </c>
      <c r="N4" s="7"/>
      <c r="O4" s="7"/>
      <c r="P4" s="7"/>
      <c r="Q4" s="7"/>
      <c r="R4" s="7"/>
      <c r="S4" s="7"/>
    </row>
    <row r="5" spans="1:19" hidden="1" x14ac:dyDescent="0.3">
      <c r="A5" s="41" t="s">
        <v>58</v>
      </c>
      <c r="B5" t="s">
        <v>21</v>
      </c>
      <c r="C5" t="s">
        <v>29</v>
      </c>
      <c r="D5" s="18" t="s">
        <v>59</v>
      </c>
      <c r="E5" s="10" t="s">
        <v>60</v>
      </c>
      <c r="F5" t="s">
        <v>25</v>
      </c>
      <c r="G5" t="s">
        <v>61</v>
      </c>
      <c r="H5">
        <v>50</v>
      </c>
      <c r="I5">
        <v>23</v>
      </c>
      <c r="J5">
        <v>7</v>
      </c>
      <c r="K5">
        <v>0</v>
      </c>
      <c r="L5">
        <v>2</v>
      </c>
      <c r="M5">
        <v>6</v>
      </c>
      <c r="N5">
        <v>10</v>
      </c>
      <c r="S5" s="1"/>
    </row>
    <row r="6" spans="1:19" hidden="1" x14ac:dyDescent="0.3">
      <c r="A6" s="41" t="s">
        <v>70</v>
      </c>
      <c r="B6" t="s">
        <v>53</v>
      </c>
      <c r="C6" t="s">
        <v>29</v>
      </c>
      <c r="D6" t="s">
        <v>71</v>
      </c>
      <c r="E6" t="s">
        <v>72</v>
      </c>
      <c r="F6" t="s">
        <v>56</v>
      </c>
      <c r="G6" t="s">
        <v>73</v>
      </c>
      <c r="H6">
        <v>15</v>
      </c>
      <c r="I6">
        <v>0</v>
      </c>
      <c r="J6">
        <v>0</v>
      </c>
      <c r="K6">
        <v>0</v>
      </c>
      <c r="L6">
        <v>0</v>
      </c>
      <c r="O6">
        <v>20</v>
      </c>
      <c r="R6">
        <v>15</v>
      </c>
      <c r="S6" s="1"/>
    </row>
    <row r="7" spans="1:19" hidden="1" x14ac:dyDescent="0.3">
      <c r="A7" s="41" t="s">
        <v>139</v>
      </c>
      <c r="B7" t="s">
        <v>21</v>
      </c>
      <c r="C7" t="s">
        <v>22</v>
      </c>
      <c r="D7" t="s">
        <v>140</v>
      </c>
      <c r="E7" t="s">
        <v>141</v>
      </c>
      <c r="F7" t="s">
        <v>142</v>
      </c>
      <c r="G7" t="s">
        <v>143</v>
      </c>
      <c r="H7">
        <v>30</v>
      </c>
      <c r="I7">
        <v>0</v>
      </c>
      <c r="J7">
        <v>0</v>
      </c>
      <c r="K7">
        <v>0</v>
      </c>
      <c r="L7">
        <v>0</v>
      </c>
      <c r="O7">
        <v>5</v>
      </c>
      <c r="R7">
        <v>13</v>
      </c>
      <c r="S7" s="1"/>
    </row>
    <row r="8" spans="1:19" x14ac:dyDescent="0.3">
      <c r="A8" s="41" t="s">
        <v>159</v>
      </c>
      <c r="B8" t="s">
        <v>28</v>
      </c>
      <c r="C8" t="s">
        <v>22</v>
      </c>
      <c r="D8" t="s">
        <v>160</v>
      </c>
      <c r="E8" t="s">
        <v>161</v>
      </c>
      <c r="F8" t="s">
        <v>162</v>
      </c>
      <c r="G8" t="s">
        <v>163</v>
      </c>
      <c r="H8">
        <v>13</v>
      </c>
      <c r="I8">
        <v>5</v>
      </c>
      <c r="J8">
        <v>2</v>
      </c>
      <c r="K8">
        <v>0</v>
      </c>
      <c r="L8">
        <v>0</v>
      </c>
      <c r="M8">
        <v>6</v>
      </c>
      <c r="O8">
        <v>3</v>
      </c>
      <c r="R8">
        <v>11</v>
      </c>
      <c r="S8" s="1"/>
    </row>
    <row r="9" spans="1:19" hidden="1" x14ac:dyDescent="0.3">
      <c r="A9" s="41" t="s">
        <v>164</v>
      </c>
      <c r="B9" t="s">
        <v>53</v>
      </c>
      <c r="C9" t="s">
        <v>22</v>
      </c>
      <c r="D9" t="s">
        <v>165</v>
      </c>
      <c r="E9" t="s">
        <v>166</v>
      </c>
      <c r="F9" t="s">
        <v>32</v>
      </c>
      <c r="G9" t="s">
        <v>167</v>
      </c>
      <c r="H9">
        <v>32</v>
      </c>
      <c r="I9">
        <v>0</v>
      </c>
      <c r="J9">
        <v>0</v>
      </c>
      <c r="K9">
        <v>0</v>
      </c>
      <c r="L9">
        <v>0</v>
      </c>
      <c r="O9">
        <v>10</v>
      </c>
      <c r="P9">
        <v>3.5</v>
      </c>
      <c r="Q9">
        <v>10</v>
      </c>
      <c r="R9">
        <v>4.5</v>
      </c>
    </row>
    <row r="10" spans="1:19" hidden="1" x14ac:dyDescent="0.3">
      <c r="A10" s="41" t="s">
        <v>170</v>
      </c>
      <c r="B10" t="s">
        <v>53</v>
      </c>
      <c r="C10" t="s">
        <v>175</v>
      </c>
      <c r="D10" t="s">
        <v>171</v>
      </c>
      <c r="E10" t="s">
        <v>172</v>
      </c>
      <c r="F10" t="s">
        <v>56</v>
      </c>
      <c r="G10" t="s">
        <v>173</v>
      </c>
      <c r="H10">
        <v>75</v>
      </c>
      <c r="I10">
        <v>0</v>
      </c>
      <c r="J10">
        <v>0</v>
      </c>
      <c r="K10">
        <v>0</v>
      </c>
      <c r="L10">
        <v>0</v>
      </c>
      <c r="O10">
        <v>6.5</v>
      </c>
      <c r="P10">
        <v>5</v>
      </c>
      <c r="Q10">
        <v>9</v>
      </c>
      <c r="R10">
        <v>3.5</v>
      </c>
    </row>
    <row r="11" spans="1:19" x14ac:dyDescent="0.3">
      <c r="A11" s="41" t="s">
        <v>176</v>
      </c>
      <c r="B11" t="s">
        <v>28</v>
      </c>
      <c r="C11" t="s">
        <v>22</v>
      </c>
      <c r="D11" s="18" t="s">
        <v>177</v>
      </c>
      <c r="E11" s="10" t="s">
        <v>178</v>
      </c>
      <c r="F11" t="s">
        <v>38</v>
      </c>
      <c r="G11" t="s">
        <v>179</v>
      </c>
      <c r="H11">
        <v>45</v>
      </c>
      <c r="I11">
        <v>16</v>
      </c>
      <c r="J11">
        <v>8</v>
      </c>
      <c r="K11">
        <v>0</v>
      </c>
      <c r="L11">
        <v>5</v>
      </c>
    </row>
    <row r="12" spans="1:19" x14ac:dyDescent="0.3">
      <c r="A12" s="41" t="s">
        <v>183</v>
      </c>
      <c r="B12" t="s">
        <v>28</v>
      </c>
      <c r="C12" t="s">
        <v>22</v>
      </c>
      <c r="D12" t="s">
        <v>184</v>
      </c>
      <c r="E12" t="s">
        <v>185</v>
      </c>
      <c r="F12" t="s">
        <v>186</v>
      </c>
      <c r="G12" t="s">
        <v>187</v>
      </c>
      <c r="H12">
        <v>35</v>
      </c>
      <c r="I12">
        <v>0</v>
      </c>
      <c r="J12">
        <v>0</v>
      </c>
      <c r="K12">
        <v>0</v>
      </c>
      <c r="L12">
        <v>0</v>
      </c>
      <c r="S12" s="1"/>
    </row>
    <row r="13" spans="1:19" hidden="1" x14ac:dyDescent="0.3">
      <c r="A13" s="41" t="s">
        <v>188</v>
      </c>
      <c r="B13" t="s">
        <v>21</v>
      </c>
      <c r="C13" t="s">
        <v>22</v>
      </c>
      <c r="D13" t="s">
        <v>189</v>
      </c>
      <c r="E13" t="s">
        <v>190</v>
      </c>
      <c r="F13" t="s">
        <v>191</v>
      </c>
      <c r="G13" t="s">
        <v>192</v>
      </c>
      <c r="H13">
        <v>40</v>
      </c>
      <c r="I13">
        <v>0</v>
      </c>
      <c r="J13">
        <v>0</v>
      </c>
      <c r="K13">
        <v>0</v>
      </c>
      <c r="L13">
        <v>0</v>
      </c>
      <c r="O13">
        <v>11.5</v>
      </c>
      <c r="P13">
        <v>5.5</v>
      </c>
      <c r="Q13">
        <v>10.5</v>
      </c>
      <c r="R13">
        <v>6</v>
      </c>
      <c r="S13" s="1"/>
    </row>
    <row r="14" spans="1:19" x14ac:dyDescent="0.3">
      <c r="A14" s="7" t="s">
        <v>219</v>
      </c>
      <c r="B14" s="7" t="s">
        <v>28</v>
      </c>
      <c r="C14" s="7" t="s">
        <v>22</v>
      </c>
      <c r="D14" s="7" t="s">
        <v>220</v>
      </c>
      <c r="E14" s="7" t="s">
        <v>221</v>
      </c>
      <c r="F14" s="7" t="s">
        <v>25</v>
      </c>
      <c r="G14" s="7" t="s">
        <v>163</v>
      </c>
      <c r="H14" s="7">
        <v>30</v>
      </c>
      <c r="I14" s="7">
        <v>0</v>
      </c>
      <c r="J14" s="7">
        <v>0</v>
      </c>
      <c r="K14" s="7">
        <v>0</v>
      </c>
      <c r="L14" s="7">
        <v>0</v>
      </c>
      <c r="M14" s="7"/>
      <c r="N14" s="7"/>
      <c r="O14" s="7">
        <v>9</v>
      </c>
      <c r="P14" s="7"/>
      <c r="Q14" s="7"/>
      <c r="R14" s="7">
        <v>19</v>
      </c>
      <c r="S14" s="45"/>
    </row>
    <row r="15" spans="1:19" hidden="1" x14ac:dyDescent="0.3">
      <c r="A15" s="41" t="s">
        <v>248</v>
      </c>
      <c r="B15" t="s">
        <v>21</v>
      </c>
      <c r="C15" t="s">
        <v>22</v>
      </c>
      <c r="D15" t="s">
        <v>249</v>
      </c>
      <c r="E15" t="s">
        <v>250</v>
      </c>
      <c r="F15" t="s">
        <v>251</v>
      </c>
      <c r="G15" t="s">
        <v>252</v>
      </c>
      <c r="H15">
        <v>40</v>
      </c>
      <c r="I15">
        <v>10</v>
      </c>
      <c r="J15">
        <v>2</v>
      </c>
      <c r="K15">
        <v>0</v>
      </c>
      <c r="L15">
        <v>1</v>
      </c>
      <c r="N15">
        <v>9</v>
      </c>
      <c r="O15">
        <v>19</v>
      </c>
      <c r="R15">
        <v>7</v>
      </c>
      <c r="S15" s="1"/>
    </row>
    <row r="16" spans="1:19" hidden="1" x14ac:dyDescent="0.3">
      <c r="A16" s="41" t="s">
        <v>248</v>
      </c>
      <c r="B16" t="s">
        <v>21</v>
      </c>
      <c r="C16" t="s">
        <v>22</v>
      </c>
      <c r="D16" t="s">
        <v>249</v>
      </c>
      <c r="E16" t="s">
        <v>250</v>
      </c>
      <c r="F16" t="s">
        <v>251</v>
      </c>
      <c r="G16" t="s">
        <v>253</v>
      </c>
      <c r="H16">
        <v>100</v>
      </c>
      <c r="I16">
        <v>35</v>
      </c>
      <c r="J16">
        <v>15</v>
      </c>
      <c r="K16">
        <v>0</v>
      </c>
      <c r="L16">
        <v>4</v>
      </c>
      <c r="N16">
        <v>9</v>
      </c>
      <c r="O16">
        <v>19</v>
      </c>
      <c r="R16">
        <v>7</v>
      </c>
      <c r="S16" s="1"/>
    </row>
    <row r="17" spans="1:19" hidden="1" x14ac:dyDescent="0.3">
      <c r="A17" s="41" t="s">
        <v>248</v>
      </c>
      <c r="B17" t="s">
        <v>21</v>
      </c>
      <c r="C17" t="s">
        <v>22</v>
      </c>
      <c r="D17" t="s">
        <v>249</v>
      </c>
      <c r="E17" t="s">
        <v>250</v>
      </c>
      <c r="F17" t="s">
        <v>251</v>
      </c>
      <c r="G17" t="s">
        <v>254</v>
      </c>
      <c r="H17">
        <v>40</v>
      </c>
      <c r="I17">
        <v>12</v>
      </c>
      <c r="J17">
        <v>6</v>
      </c>
      <c r="K17">
        <v>0</v>
      </c>
      <c r="L17">
        <v>1</v>
      </c>
      <c r="N17">
        <v>9</v>
      </c>
      <c r="O17">
        <v>19</v>
      </c>
      <c r="R17">
        <v>7</v>
      </c>
      <c r="S17" s="1"/>
    </row>
    <row r="18" spans="1:19" hidden="1" x14ac:dyDescent="0.3">
      <c r="A18" s="41" t="s">
        <v>291</v>
      </c>
      <c r="B18" t="s">
        <v>21</v>
      </c>
      <c r="C18" t="s">
        <v>22</v>
      </c>
      <c r="D18" s="18" t="s">
        <v>292</v>
      </c>
      <c r="E18" s="10" t="s">
        <v>293</v>
      </c>
      <c r="F18" t="s">
        <v>25</v>
      </c>
      <c r="G18" t="s">
        <v>294</v>
      </c>
      <c r="H18">
        <v>20</v>
      </c>
      <c r="S18" s="1"/>
    </row>
    <row r="19" spans="1:19" hidden="1" x14ac:dyDescent="0.3">
      <c r="A19" s="41" t="s">
        <v>298</v>
      </c>
      <c r="B19" t="s">
        <v>21</v>
      </c>
      <c r="C19" t="s">
        <v>22</v>
      </c>
      <c r="D19" t="s">
        <v>299</v>
      </c>
      <c r="E19" t="s">
        <v>300</v>
      </c>
      <c r="F19" t="s">
        <v>301</v>
      </c>
      <c r="G19" t="s">
        <v>302</v>
      </c>
      <c r="H19">
        <v>65</v>
      </c>
      <c r="I19">
        <v>15</v>
      </c>
      <c r="J19">
        <v>6</v>
      </c>
      <c r="K19">
        <v>0</v>
      </c>
      <c r="L19">
        <v>3</v>
      </c>
      <c r="M19">
        <v>5</v>
      </c>
      <c r="O19">
        <v>7.5</v>
      </c>
      <c r="P19">
        <v>4.5</v>
      </c>
      <c r="Q19">
        <v>7</v>
      </c>
      <c r="R19">
        <v>2</v>
      </c>
      <c r="S19" s="1"/>
    </row>
    <row r="20" spans="1:19" hidden="1" x14ac:dyDescent="0.3">
      <c r="A20" s="41" t="s">
        <v>322</v>
      </c>
      <c r="B20" t="s">
        <v>21</v>
      </c>
      <c r="D20" s="10" t="s">
        <v>323</v>
      </c>
      <c r="E20" s="10" t="s">
        <v>324</v>
      </c>
      <c r="F20" t="s">
        <v>32</v>
      </c>
      <c r="G20" t="s">
        <v>226</v>
      </c>
      <c r="H20">
        <v>35</v>
      </c>
      <c r="I20">
        <v>15</v>
      </c>
      <c r="J20">
        <v>2</v>
      </c>
      <c r="K20">
        <v>0</v>
      </c>
      <c r="L20">
        <v>0</v>
      </c>
    </row>
    <row r="21" spans="1:19" hidden="1" x14ac:dyDescent="0.3">
      <c r="A21" s="41" t="s">
        <v>330</v>
      </c>
      <c r="B21" t="s">
        <v>53</v>
      </c>
      <c r="C21" t="s">
        <v>29</v>
      </c>
      <c r="D21" t="s">
        <v>331</v>
      </c>
      <c r="E21" t="s">
        <v>332</v>
      </c>
      <c r="F21" t="s">
        <v>56</v>
      </c>
      <c r="G21" t="s">
        <v>262</v>
      </c>
      <c r="H21">
        <v>25</v>
      </c>
      <c r="I21">
        <v>0</v>
      </c>
      <c r="J21">
        <v>0</v>
      </c>
      <c r="K21">
        <v>0</v>
      </c>
      <c r="L21">
        <v>0</v>
      </c>
      <c r="O21">
        <v>5.5</v>
      </c>
      <c r="P21">
        <v>9</v>
      </c>
      <c r="Q21">
        <v>1</v>
      </c>
      <c r="R21">
        <v>6</v>
      </c>
    </row>
    <row r="22" spans="1:19" hidden="1" x14ac:dyDescent="0.3">
      <c r="A22" s="41" t="s">
        <v>330</v>
      </c>
      <c r="B22" t="s">
        <v>53</v>
      </c>
      <c r="C22" t="s">
        <v>29</v>
      </c>
      <c r="D22" t="s">
        <v>331</v>
      </c>
      <c r="E22" t="s">
        <v>332</v>
      </c>
      <c r="F22" t="s">
        <v>56</v>
      </c>
      <c r="G22" t="s">
        <v>333</v>
      </c>
      <c r="H22">
        <v>40</v>
      </c>
      <c r="I22">
        <v>0</v>
      </c>
      <c r="J22">
        <v>0</v>
      </c>
      <c r="K22">
        <v>0</v>
      </c>
      <c r="L22">
        <v>0</v>
      </c>
      <c r="O22">
        <v>5.5</v>
      </c>
      <c r="P22">
        <v>9</v>
      </c>
      <c r="Q22">
        <v>1</v>
      </c>
      <c r="R22">
        <v>6</v>
      </c>
    </row>
    <row r="23" spans="1:19" hidden="1" x14ac:dyDescent="0.3">
      <c r="A23" s="41" t="s">
        <v>330</v>
      </c>
      <c r="B23" t="s">
        <v>53</v>
      </c>
      <c r="C23" t="s">
        <v>29</v>
      </c>
      <c r="D23" t="s">
        <v>331</v>
      </c>
      <c r="E23" t="s">
        <v>332</v>
      </c>
      <c r="F23" t="s">
        <v>56</v>
      </c>
      <c r="G23" t="s">
        <v>334</v>
      </c>
      <c r="H23">
        <v>30</v>
      </c>
      <c r="I23">
        <v>0</v>
      </c>
      <c r="J23">
        <v>0</v>
      </c>
      <c r="K23">
        <v>0</v>
      </c>
      <c r="L23">
        <v>0</v>
      </c>
      <c r="O23">
        <v>5.5</v>
      </c>
      <c r="P23">
        <v>9</v>
      </c>
      <c r="Q23">
        <v>1</v>
      </c>
      <c r="R23">
        <v>6</v>
      </c>
    </row>
    <row r="24" spans="1:19" hidden="1" x14ac:dyDescent="0.3">
      <c r="A24" s="41" t="s">
        <v>330</v>
      </c>
      <c r="B24" t="s">
        <v>53</v>
      </c>
      <c r="C24" t="s">
        <v>29</v>
      </c>
      <c r="D24" t="s">
        <v>331</v>
      </c>
      <c r="E24" t="s">
        <v>332</v>
      </c>
      <c r="F24" t="s">
        <v>56</v>
      </c>
      <c r="G24" t="s">
        <v>333</v>
      </c>
      <c r="H24">
        <v>15</v>
      </c>
      <c r="I24">
        <v>0</v>
      </c>
      <c r="J24">
        <v>0</v>
      </c>
      <c r="K24">
        <v>0</v>
      </c>
      <c r="L24">
        <v>0</v>
      </c>
      <c r="O24">
        <v>6.5</v>
      </c>
      <c r="P24">
        <v>6.5</v>
      </c>
      <c r="Q24">
        <v>2</v>
      </c>
      <c r="R24">
        <v>4</v>
      </c>
      <c r="S24" s="1"/>
    </row>
    <row r="25" spans="1:19" hidden="1" x14ac:dyDescent="0.3">
      <c r="A25" s="41" t="s">
        <v>330</v>
      </c>
      <c r="B25" t="s">
        <v>53</v>
      </c>
      <c r="C25" t="s">
        <v>29</v>
      </c>
      <c r="D25" t="s">
        <v>331</v>
      </c>
      <c r="E25" t="s">
        <v>332</v>
      </c>
      <c r="F25" t="s">
        <v>56</v>
      </c>
      <c r="G25" t="s">
        <v>335</v>
      </c>
      <c r="H25">
        <v>15</v>
      </c>
      <c r="I25">
        <v>0</v>
      </c>
      <c r="J25">
        <v>0</v>
      </c>
      <c r="K25">
        <v>0</v>
      </c>
      <c r="L25">
        <v>0</v>
      </c>
      <c r="O25">
        <v>7.5</v>
      </c>
      <c r="P25">
        <v>2</v>
      </c>
      <c r="Q25">
        <v>9.5</v>
      </c>
      <c r="R25">
        <v>3</v>
      </c>
      <c r="S25" s="1"/>
    </row>
    <row r="26" spans="1:19" hidden="1" x14ac:dyDescent="0.3">
      <c r="A26" s="41" t="s">
        <v>330</v>
      </c>
      <c r="B26" t="s">
        <v>53</v>
      </c>
      <c r="C26" t="s">
        <v>29</v>
      </c>
      <c r="D26" t="s">
        <v>331</v>
      </c>
      <c r="E26" t="s">
        <v>332</v>
      </c>
      <c r="F26" t="s">
        <v>56</v>
      </c>
      <c r="G26" t="s">
        <v>268</v>
      </c>
      <c r="H26">
        <v>20</v>
      </c>
      <c r="I26">
        <v>0</v>
      </c>
      <c r="J26">
        <v>0</v>
      </c>
      <c r="K26">
        <v>0</v>
      </c>
      <c r="L26">
        <v>0</v>
      </c>
      <c r="O26">
        <v>7.5</v>
      </c>
      <c r="P26">
        <v>4</v>
      </c>
      <c r="Q26">
        <v>9.5</v>
      </c>
      <c r="R26">
        <v>3</v>
      </c>
      <c r="S26" s="1"/>
    </row>
    <row r="27" spans="1:19" hidden="1" x14ac:dyDescent="0.3">
      <c r="A27" s="41" t="s">
        <v>330</v>
      </c>
      <c r="B27" t="s">
        <v>53</v>
      </c>
      <c r="C27" t="s">
        <v>29</v>
      </c>
      <c r="D27" t="s">
        <v>331</v>
      </c>
      <c r="E27" t="s">
        <v>332</v>
      </c>
      <c r="F27" t="s">
        <v>56</v>
      </c>
      <c r="G27" t="s">
        <v>336</v>
      </c>
      <c r="H27">
        <v>20</v>
      </c>
      <c r="I27">
        <v>0</v>
      </c>
      <c r="J27">
        <v>0</v>
      </c>
      <c r="K27">
        <v>0</v>
      </c>
      <c r="L27">
        <v>0</v>
      </c>
      <c r="O27">
        <v>7.5</v>
      </c>
      <c r="P27">
        <v>4</v>
      </c>
      <c r="Q27">
        <v>9.5</v>
      </c>
      <c r="R27">
        <v>3</v>
      </c>
      <c r="S27" s="1"/>
    </row>
    <row r="28" spans="1:19" hidden="1" x14ac:dyDescent="0.3">
      <c r="A28" s="41" t="s">
        <v>337</v>
      </c>
      <c r="B28" t="s">
        <v>21</v>
      </c>
      <c r="C28" t="s">
        <v>22</v>
      </c>
      <c r="D28" s="18" t="s">
        <v>338</v>
      </c>
      <c r="E28" s="10">
        <v>7316085780</v>
      </c>
      <c r="F28" t="s">
        <v>211</v>
      </c>
      <c r="G28" t="s">
        <v>339</v>
      </c>
      <c r="H28">
        <v>30</v>
      </c>
      <c r="I28">
        <v>12</v>
      </c>
      <c r="J28">
        <v>5</v>
      </c>
      <c r="K28">
        <v>0</v>
      </c>
      <c r="L28">
        <v>0</v>
      </c>
    </row>
    <row r="29" spans="1:19" hidden="1" x14ac:dyDescent="0.3">
      <c r="A29" s="41" t="s">
        <v>342</v>
      </c>
      <c r="B29" t="s">
        <v>53</v>
      </c>
      <c r="C29" t="s">
        <v>29</v>
      </c>
      <c r="D29" s="18" t="s">
        <v>343</v>
      </c>
      <c r="E29" s="10" t="s">
        <v>344</v>
      </c>
      <c r="F29" t="s">
        <v>56</v>
      </c>
      <c r="G29" t="s">
        <v>321</v>
      </c>
      <c r="H29">
        <v>135</v>
      </c>
      <c r="I29">
        <v>0</v>
      </c>
      <c r="J29">
        <v>0</v>
      </c>
      <c r="K29">
        <v>0</v>
      </c>
      <c r="L29">
        <v>0</v>
      </c>
    </row>
    <row r="30" spans="1:19" hidden="1" x14ac:dyDescent="0.3">
      <c r="A30" s="41" t="s">
        <v>359</v>
      </c>
      <c r="B30" t="s">
        <v>21</v>
      </c>
      <c r="C30" t="s">
        <v>22</v>
      </c>
      <c r="D30" t="s">
        <v>360</v>
      </c>
      <c r="E30" t="s">
        <v>361</v>
      </c>
      <c r="F30" t="s">
        <v>142</v>
      </c>
      <c r="G30" t="s">
        <v>362</v>
      </c>
      <c r="H30">
        <v>16</v>
      </c>
      <c r="I30">
        <v>4</v>
      </c>
      <c r="J30">
        <v>2</v>
      </c>
      <c r="K30">
        <v>4</v>
      </c>
      <c r="L30">
        <v>1</v>
      </c>
      <c r="O30">
        <v>6.5</v>
      </c>
      <c r="P30">
        <v>6</v>
      </c>
      <c r="Q30">
        <v>3</v>
      </c>
      <c r="R30">
        <v>4</v>
      </c>
      <c r="S30" s="1"/>
    </row>
    <row r="31" spans="1:19" hidden="1" x14ac:dyDescent="0.3">
      <c r="A31" s="42" t="s">
        <v>381</v>
      </c>
      <c r="B31" t="s">
        <v>21</v>
      </c>
      <c r="C31" t="s">
        <v>22</v>
      </c>
      <c r="D31" t="s">
        <v>382</v>
      </c>
      <c r="E31" t="s">
        <v>383</v>
      </c>
      <c r="F31" t="s">
        <v>142</v>
      </c>
      <c r="G31" t="s">
        <v>225</v>
      </c>
      <c r="H31">
        <v>35</v>
      </c>
      <c r="I31">
        <v>10</v>
      </c>
      <c r="J31">
        <v>5</v>
      </c>
      <c r="K31">
        <v>3</v>
      </c>
      <c r="L31">
        <v>1</v>
      </c>
      <c r="N31">
        <v>10</v>
      </c>
      <c r="O31">
        <v>20</v>
      </c>
      <c r="R31">
        <v>9</v>
      </c>
      <c r="S31" s="1"/>
    </row>
    <row r="32" spans="1:19" hidden="1" x14ac:dyDescent="0.3">
      <c r="A32" s="41" t="s">
        <v>417</v>
      </c>
      <c r="B32" t="s">
        <v>21</v>
      </c>
      <c r="C32" t="s">
        <v>22</v>
      </c>
      <c r="D32" t="s">
        <v>418</v>
      </c>
      <c r="E32" t="s">
        <v>419</v>
      </c>
      <c r="F32" t="s">
        <v>25</v>
      </c>
      <c r="G32" t="s">
        <v>420</v>
      </c>
      <c r="H32">
        <v>25</v>
      </c>
      <c r="I32">
        <v>6</v>
      </c>
      <c r="J32">
        <v>4</v>
      </c>
      <c r="K32">
        <v>0</v>
      </c>
      <c r="L32">
        <v>1</v>
      </c>
      <c r="O32">
        <v>20</v>
      </c>
      <c r="R32">
        <v>14</v>
      </c>
      <c r="S32" s="1"/>
    </row>
    <row r="33" spans="1:19" x14ac:dyDescent="0.3">
      <c r="A33" s="41" t="s">
        <v>446</v>
      </c>
      <c r="B33" t="s">
        <v>28</v>
      </c>
      <c r="D33" t="s">
        <v>447</v>
      </c>
      <c r="E33" t="s">
        <v>448</v>
      </c>
      <c r="F33" t="s">
        <v>38</v>
      </c>
      <c r="G33" t="s">
        <v>449</v>
      </c>
      <c r="H33">
        <v>33</v>
      </c>
      <c r="I33">
        <v>10</v>
      </c>
      <c r="J33">
        <v>5</v>
      </c>
      <c r="K33">
        <v>0</v>
      </c>
      <c r="L33">
        <v>5</v>
      </c>
      <c r="M33">
        <v>9</v>
      </c>
      <c r="O33">
        <v>7</v>
      </c>
      <c r="R33">
        <v>16</v>
      </c>
      <c r="S33" s="1"/>
    </row>
    <row r="34" spans="1:19" x14ac:dyDescent="0.3">
      <c r="A34" s="41" t="s">
        <v>450</v>
      </c>
      <c r="B34" t="s">
        <v>28</v>
      </c>
      <c r="C34" t="s">
        <v>22</v>
      </c>
      <c r="D34" t="s">
        <v>451</v>
      </c>
      <c r="E34" t="s">
        <v>452</v>
      </c>
      <c r="F34" t="s">
        <v>38</v>
      </c>
      <c r="G34" t="s">
        <v>453</v>
      </c>
      <c r="H34">
        <v>25</v>
      </c>
      <c r="I34">
        <v>10</v>
      </c>
      <c r="J34">
        <v>5</v>
      </c>
      <c r="K34">
        <v>0</v>
      </c>
      <c r="L34">
        <v>3</v>
      </c>
      <c r="M34">
        <v>8</v>
      </c>
      <c r="O34">
        <v>6</v>
      </c>
      <c r="R34">
        <v>16</v>
      </c>
      <c r="S34" s="1"/>
    </row>
    <row r="35" spans="1:19" hidden="1" x14ac:dyDescent="0.3">
      <c r="A35" s="41" t="s">
        <v>454</v>
      </c>
      <c r="B35" t="s">
        <v>21</v>
      </c>
      <c r="C35" t="s">
        <v>22</v>
      </c>
      <c r="D35" t="s">
        <v>455</v>
      </c>
      <c r="E35" t="s">
        <v>456</v>
      </c>
      <c r="F35" t="s">
        <v>142</v>
      </c>
      <c r="G35" t="s">
        <v>268</v>
      </c>
      <c r="H35">
        <v>40</v>
      </c>
      <c r="I35">
        <v>14</v>
      </c>
      <c r="J35">
        <v>4</v>
      </c>
      <c r="K35">
        <v>0</v>
      </c>
      <c r="L35">
        <v>2</v>
      </c>
      <c r="N35">
        <v>9</v>
      </c>
      <c r="O35">
        <v>33</v>
      </c>
      <c r="R35">
        <v>25</v>
      </c>
      <c r="S35" s="1"/>
    </row>
    <row r="36" spans="1:19" hidden="1" x14ac:dyDescent="0.3">
      <c r="A36" s="41" t="s">
        <v>467</v>
      </c>
      <c r="B36" t="s">
        <v>53</v>
      </c>
      <c r="C36" t="s">
        <v>29</v>
      </c>
      <c r="D36" t="s">
        <v>468</v>
      </c>
      <c r="E36" t="s">
        <v>469</v>
      </c>
      <c r="F36" t="s">
        <v>56</v>
      </c>
      <c r="G36" t="s">
        <v>470</v>
      </c>
      <c r="H36">
        <v>36</v>
      </c>
      <c r="I36">
        <v>0</v>
      </c>
      <c r="J36">
        <v>0</v>
      </c>
      <c r="K36">
        <v>0</v>
      </c>
      <c r="L36">
        <v>0</v>
      </c>
      <c r="O36">
        <v>10</v>
      </c>
      <c r="P36">
        <v>3</v>
      </c>
      <c r="Q36">
        <v>9.5</v>
      </c>
      <c r="R36">
        <v>4</v>
      </c>
      <c r="S36" s="1"/>
    </row>
    <row r="37" spans="1:19" hidden="1" x14ac:dyDescent="0.3">
      <c r="A37" s="41" t="s">
        <v>222</v>
      </c>
      <c r="B37" t="s">
        <v>21</v>
      </c>
      <c r="C37" t="s">
        <v>29</v>
      </c>
      <c r="D37" s="43" t="s">
        <v>223</v>
      </c>
      <c r="E37" s="10" t="s">
        <v>224</v>
      </c>
      <c r="F37" t="s">
        <v>211</v>
      </c>
      <c r="G37" t="s">
        <v>192</v>
      </c>
      <c r="H37">
        <v>235</v>
      </c>
      <c r="I37">
        <v>95</v>
      </c>
      <c r="J37">
        <v>45</v>
      </c>
      <c r="K37">
        <v>0</v>
      </c>
      <c r="L37">
        <v>14</v>
      </c>
    </row>
    <row r="38" spans="1:19" hidden="1" x14ac:dyDescent="0.3">
      <c r="A38" s="41" t="s">
        <v>222</v>
      </c>
      <c r="B38" t="s">
        <v>21</v>
      </c>
      <c r="C38" t="s">
        <v>29</v>
      </c>
      <c r="D38" s="43" t="s">
        <v>223</v>
      </c>
      <c r="E38" s="10" t="s">
        <v>224</v>
      </c>
      <c r="F38" t="s">
        <v>211</v>
      </c>
      <c r="G38" t="s">
        <v>225</v>
      </c>
      <c r="H38">
        <v>33</v>
      </c>
      <c r="I38">
        <v>10</v>
      </c>
      <c r="J38">
        <v>0</v>
      </c>
      <c r="K38">
        <v>0</v>
      </c>
      <c r="L38">
        <v>1</v>
      </c>
    </row>
    <row r="39" spans="1:19" hidden="1" x14ac:dyDescent="0.3">
      <c r="A39" s="41" t="s">
        <v>222</v>
      </c>
      <c r="B39" t="s">
        <v>21</v>
      </c>
      <c r="C39" t="s">
        <v>29</v>
      </c>
      <c r="D39" s="43" t="s">
        <v>223</v>
      </c>
      <c r="E39" s="10" t="s">
        <v>224</v>
      </c>
      <c r="F39" t="s">
        <v>211</v>
      </c>
      <c r="G39" t="s">
        <v>26</v>
      </c>
      <c r="H39">
        <v>45</v>
      </c>
      <c r="I39">
        <v>15</v>
      </c>
      <c r="J39">
        <v>4</v>
      </c>
      <c r="K39">
        <v>0</v>
      </c>
      <c r="L39">
        <v>0</v>
      </c>
    </row>
    <row r="40" spans="1:19" hidden="1" x14ac:dyDescent="0.3">
      <c r="A40" s="41" t="s">
        <v>222</v>
      </c>
      <c r="B40" t="s">
        <v>21</v>
      </c>
      <c r="C40" t="s">
        <v>29</v>
      </c>
      <c r="D40" s="43" t="s">
        <v>223</v>
      </c>
      <c r="E40" s="10" t="s">
        <v>224</v>
      </c>
      <c r="F40" t="s">
        <v>211</v>
      </c>
      <c r="G40" t="s">
        <v>226</v>
      </c>
      <c r="H40">
        <v>150</v>
      </c>
      <c r="I40">
        <v>50</v>
      </c>
      <c r="J40">
        <v>25</v>
      </c>
      <c r="K40">
        <v>0</v>
      </c>
      <c r="L40">
        <v>10</v>
      </c>
    </row>
    <row r="41" spans="1:19" hidden="1" x14ac:dyDescent="0.3">
      <c r="A41" s="41" t="s">
        <v>222</v>
      </c>
      <c r="B41" t="s">
        <v>21</v>
      </c>
      <c r="C41" t="s">
        <v>29</v>
      </c>
      <c r="D41" s="43" t="s">
        <v>223</v>
      </c>
      <c r="E41" s="10" t="s">
        <v>224</v>
      </c>
      <c r="F41" t="s">
        <v>211</v>
      </c>
      <c r="G41" t="s">
        <v>227</v>
      </c>
      <c r="H41">
        <v>150</v>
      </c>
      <c r="I41">
        <v>50</v>
      </c>
      <c r="J41">
        <v>0</v>
      </c>
      <c r="K41">
        <v>0</v>
      </c>
      <c r="L41">
        <v>10</v>
      </c>
    </row>
    <row r="42" spans="1:19" hidden="1" x14ac:dyDescent="0.3">
      <c r="A42" s="41" t="s">
        <v>222</v>
      </c>
      <c r="B42" t="s">
        <v>21</v>
      </c>
      <c r="C42" t="s">
        <v>29</v>
      </c>
      <c r="D42" s="43" t="s">
        <v>223</v>
      </c>
      <c r="E42" s="10" t="s">
        <v>224</v>
      </c>
      <c r="F42" t="s">
        <v>211</v>
      </c>
      <c r="G42" t="s">
        <v>228</v>
      </c>
      <c r="H42">
        <v>25</v>
      </c>
      <c r="I42">
        <v>10</v>
      </c>
      <c r="J42">
        <v>5</v>
      </c>
      <c r="K42">
        <v>0</v>
      </c>
      <c r="L42">
        <v>0</v>
      </c>
    </row>
    <row r="43" spans="1:19" hidden="1" x14ac:dyDescent="0.3">
      <c r="A43" s="41" t="s">
        <v>325</v>
      </c>
      <c r="B43" t="s">
        <v>21</v>
      </c>
      <c r="C43" t="s">
        <v>29</v>
      </c>
      <c r="D43" s="43" t="s">
        <v>326</v>
      </c>
      <c r="F43" t="s">
        <v>328</v>
      </c>
      <c r="G43" t="s">
        <v>329</v>
      </c>
      <c r="H43">
        <v>30</v>
      </c>
      <c r="I43">
        <v>15</v>
      </c>
      <c r="J43">
        <v>4</v>
      </c>
      <c r="K43">
        <v>0</v>
      </c>
      <c r="L43">
        <v>0</v>
      </c>
    </row>
    <row r="44" spans="1:19" x14ac:dyDescent="0.3">
      <c r="A44" s="41" t="s">
        <v>504</v>
      </c>
    </row>
    <row r="45" spans="1:19" x14ac:dyDescent="0.3">
      <c r="A45" s="41" t="s">
        <v>505</v>
      </c>
      <c r="G45" t="s">
        <v>106</v>
      </c>
      <c r="H45">
        <v>13</v>
      </c>
    </row>
    <row r="46" spans="1:19" x14ac:dyDescent="0.3">
      <c r="A46" s="41" t="s">
        <v>506</v>
      </c>
    </row>
    <row r="50" spans="1:19" x14ac:dyDescent="0.3">
      <c r="A50" s="20" t="s">
        <v>0</v>
      </c>
      <c r="B50" s="20" t="s">
        <v>1</v>
      </c>
      <c r="C50" s="20" t="s">
        <v>2</v>
      </c>
      <c r="D50" s="20" t="s">
        <v>6</v>
      </c>
      <c r="E50" s="20" t="s">
        <v>7</v>
      </c>
      <c r="F50" s="20"/>
      <c r="I50" t="s">
        <v>8</v>
      </c>
      <c r="J50" t="s">
        <v>9</v>
      </c>
      <c r="K50" t="s">
        <v>10</v>
      </c>
      <c r="L50" t="s">
        <v>11</v>
      </c>
      <c r="M50" t="s">
        <v>13</v>
      </c>
      <c r="N50" t="s">
        <v>14</v>
      </c>
      <c r="O50" t="s">
        <v>15</v>
      </c>
      <c r="P50" t="s">
        <v>16</v>
      </c>
      <c r="Q50" t="s">
        <v>17</v>
      </c>
      <c r="R50" t="s">
        <v>18</v>
      </c>
      <c r="S50" t="s">
        <v>19</v>
      </c>
    </row>
    <row r="51" spans="1:19" x14ac:dyDescent="0.3">
      <c r="A51" s="46" t="s">
        <v>159</v>
      </c>
      <c r="B51" s="20" t="s">
        <v>28</v>
      </c>
      <c r="C51" s="20" t="s">
        <v>22</v>
      </c>
      <c r="D51" s="20" t="s">
        <v>163</v>
      </c>
      <c r="E51" s="20">
        <v>13</v>
      </c>
      <c r="F51" s="20"/>
      <c r="I51">
        <v>5</v>
      </c>
      <c r="J51">
        <v>2</v>
      </c>
      <c r="K51">
        <v>0</v>
      </c>
      <c r="L51">
        <v>0</v>
      </c>
      <c r="M51">
        <v>6</v>
      </c>
      <c r="O51">
        <v>3</v>
      </c>
      <c r="R51">
        <v>11</v>
      </c>
      <c r="S51" s="1"/>
    </row>
    <row r="52" spans="1:19" x14ac:dyDescent="0.3">
      <c r="A52" s="46" t="s">
        <v>176</v>
      </c>
      <c r="B52" s="20" t="s">
        <v>28</v>
      </c>
      <c r="C52" s="20" t="s">
        <v>22</v>
      </c>
      <c r="D52" s="20" t="s">
        <v>179</v>
      </c>
      <c r="E52" s="20">
        <v>45</v>
      </c>
      <c r="F52" s="20"/>
      <c r="I52">
        <v>16</v>
      </c>
      <c r="J52">
        <v>8</v>
      </c>
      <c r="K52">
        <v>0</v>
      </c>
      <c r="L52">
        <v>5</v>
      </c>
    </row>
    <row r="53" spans="1:19" x14ac:dyDescent="0.3">
      <c r="A53" s="46" t="s">
        <v>183</v>
      </c>
      <c r="B53" s="20" t="s">
        <v>28</v>
      </c>
      <c r="C53" s="20" t="s">
        <v>22</v>
      </c>
      <c r="D53" s="20" t="s">
        <v>187</v>
      </c>
      <c r="E53" s="20">
        <v>35</v>
      </c>
      <c r="F53" s="20"/>
      <c r="I53">
        <v>0</v>
      </c>
      <c r="J53">
        <v>0</v>
      </c>
      <c r="K53">
        <v>0</v>
      </c>
      <c r="L53">
        <v>0</v>
      </c>
      <c r="S53" s="1"/>
    </row>
    <row r="54" spans="1:19" x14ac:dyDescent="0.3">
      <c r="A54" s="46" t="s">
        <v>446</v>
      </c>
      <c r="B54" s="20" t="s">
        <v>28</v>
      </c>
      <c r="C54" s="20"/>
      <c r="D54" s="20" t="s">
        <v>449</v>
      </c>
      <c r="E54" s="20">
        <v>33</v>
      </c>
      <c r="F54" s="20"/>
      <c r="I54">
        <v>10</v>
      </c>
      <c r="J54">
        <v>5</v>
      </c>
      <c r="K54">
        <v>0</v>
      </c>
      <c r="L54">
        <v>5</v>
      </c>
      <c r="M54">
        <v>9</v>
      </c>
      <c r="O54">
        <v>7</v>
      </c>
      <c r="R54">
        <v>16</v>
      </c>
      <c r="S54" s="1"/>
    </row>
    <row r="55" spans="1:19" x14ac:dyDescent="0.3">
      <c r="A55" s="46" t="s">
        <v>450</v>
      </c>
      <c r="B55" s="20" t="s">
        <v>28</v>
      </c>
      <c r="C55" s="20" t="s">
        <v>22</v>
      </c>
      <c r="D55" s="20" t="s">
        <v>453</v>
      </c>
      <c r="E55" s="20">
        <v>25</v>
      </c>
      <c r="F55" s="20"/>
      <c r="I55">
        <v>10</v>
      </c>
      <c r="J55">
        <v>5</v>
      </c>
      <c r="K55">
        <v>0</v>
      </c>
      <c r="L55">
        <v>3</v>
      </c>
      <c r="M55">
        <v>8</v>
      </c>
      <c r="O55">
        <v>6</v>
      </c>
      <c r="R55">
        <v>16</v>
      </c>
      <c r="S55" s="1"/>
    </row>
    <row r="56" spans="1:19" x14ac:dyDescent="0.3">
      <c r="A56" s="28" t="s">
        <v>504</v>
      </c>
      <c r="B56" s="20"/>
      <c r="C56" s="20"/>
      <c r="D56" s="20"/>
      <c r="E56" s="20"/>
      <c r="F56" s="20" t="s">
        <v>507</v>
      </c>
    </row>
    <row r="57" spans="1:19" x14ac:dyDescent="0.3">
      <c r="A57" s="46" t="s">
        <v>505</v>
      </c>
      <c r="B57" s="20"/>
      <c r="C57" s="20"/>
      <c r="D57" s="20" t="s">
        <v>106</v>
      </c>
      <c r="E57" s="20">
        <v>13</v>
      </c>
      <c r="F57" s="20"/>
    </row>
    <row r="58" spans="1:19" x14ac:dyDescent="0.3">
      <c r="A58" s="28" t="s">
        <v>506</v>
      </c>
      <c r="B58" s="20"/>
      <c r="C58" s="20"/>
      <c r="D58" s="20"/>
      <c r="E58" s="20"/>
      <c r="F58" s="20" t="s">
        <v>507</v>
      </c>
    </row>
    <row r="60" spans="1:19" x14ac:dyDescent="0.3">
      <c r="D60" s="47" t="s">
        <v>508</v>
      </c>
      <c r="E60" s="20">
        <f>E51+E52+E53+E54+E55+E56+E57+E58</f>
        <v>164</v>
      </c>
    </row>
  </sheetData>
  <autoFilter ref="A1:S1048457" xr:uid="{E0E03977-C54D-4553-AEB2-D5CA68450270}">
    <filterColumn colId="1">
      <filters blank="1">
        <filter val="Non-Union"/>
      </filters>
    </filterColumn>
  </autoFilter>
  <hyperlinks>
    <hyperlink ref="D2" r:id="rId1" xr:uid="{3F0C8F68-6EFD-4B95-8EC8-95E6DA7B7A81}"/>
    <hyperlink ref="D18" r:id="rId2" xr:uid="{A07913BD-58A3-40EF-BE60-FD1CCBF33B5E}"/>
    <hyperlink ref="D28" r:id="rId3" xr:uid="{C6EE3003-8E53-48DF-B90E-DC422F439B22}"/>
    <hyperlink ref="D43" r:id="rId4" xr:uid="{A5770D7E-34D6-4B69-846C-2255CB7DF04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B34A-953F-49AF-8906-98C664DF3AB2}">
  <sheetPr filterMode="1"/>
  <dimension ref="A1:AM67"/>
  <sheetViews>
    <sheetView topLeftCell="N1" workbookViewId="0">
      <selection activeCell="V32" sqref="V32"/>
    </sheetView>
  </sheetViews>
  <sheetFormatPr defaultRowHeight="14.4" x14ac:dyDescent="0.3"/>
  <cols>
    <col min="1" max="1" width="31.44140625" bestFit="1" customWidth="1"/>
    <col min="7" max="7" width="20.109375" bestFit="1" customWidth="1"/>
    <col min="24" max="24" width="25.88671875" bestFit="1" customWidth="1"/>
    <col min="25" max="25" width="11.44140625" bestFit="1" customWidth="1"/>
    <col min="27" max="27" width="20.109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X1" t="s">
        <v>0</v>
      </c>
      <c r="Y1" s="20" t="s">
        <v>0</v>
      </c>
      <c r="Z1" s="20" t="s">
        <v>1</v>
      </c>
      <c r="AA1" s="20" t="s">
        <v>6</v>
      </c>
      <c r="AB1" s="20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</row>
    <row r="2" spans="1:39" x14ac:dyDescent="0.3">
      <c r="A2" s="41" t="s">
        <v>20</v>
      </c>
      <c r="B2" t="s">
        <v>21</v>
      </c>
      <c r="C2" t="s">
        <v>22</v>
      </c>
      <c r="D2" s="18" t="s">
        <v>23</v>
      </c>
      <c r="E2" s="10" t="s">
        <v>24</v>
      </c>
      <c r="F2" t="s">
        <v>25</v>
      </c>
      <c r="G2" t="s">
        <v>26</v>
      </c>
      <c r="H2">
        <v>24</v>
      </c>
      <c r="I2">
        <v>8</v>
      </c>
      <c r="J2">
        <v>2</v>
      </c>
      <c r="K2">
        <v>2</v>
      </c>
      <c r="L2">
        <v>0</v>
      </c>
      <c r="X2" s="41" t="s">
        <v>20</v>
      </c>
      <c r="Y2" s="20" t="s">
        <v>509</v>
      </c>
      <c r="Z2" s="20" t="s">
        <v>21</v>
      </c>
      <c r="AA2" s="20" t="s">
        <v>26</v>
      </c>
      <c r="AB2" s="20">
        <v>24</v>
      </c>
      <c r="AC2">
        <v>8</v>
      </c>
      <c r="AD2">
        <v>2</v>
      </c>
      <c r="AE2">
        <v>2</v>
      </c>
      <c r="AF2">
        <v>0</v>
      </c>
    </row>
    <row r="3" spans="1:39" x14ac:dyDescent="0.3">
      <c r="A3" s="41" t="s">
        <v>27</v>
      </c>
      <c r="B3" t="s">
        <v>28</v>
      </c>
      <c r="C3" t="s">
        <v>29</v>
      </c>
      <c r="D3" s="18" t="s">
        <v>30</v>
      </c>
      <c r="E3" s="10" t="s">
        <v>31</v>
      </c>
      <c r="F3" t="s">
        <v>32</v>
      </c>
      <c r="G3" t="s">
        <v>33</v>
      </c>
      <c r="H3">
        <v>8</v>
      </c>
      <c r="I3">
        <v>3</v>
      </c>
      <c r="J3">
        <v>1</v>
      </c>
      <c r="K3">
        <v>0</v>
      </c>
      <c r="L3">
        <v>0</v>
      </c>
      <c r="M3">
        <v>10</v>
      </c>
      <c r="X3" s="41" t="s">
        <v>27</v>
      </c>
      <c r="Y3" s="20" t="s">
        <v>509</v>
      </c>
      <c r="Z3" s="20" t="s">
        <v>28</v>
      </c>
      <c r="AA3" s="20" t="s">
        <v>33</v>
      </c>
      <c r="AB3" s="20">
        <v>8</v>
      </c>
      <c r="AC3">
        <v>3</v>
      </c>
      <c r="AD3">
        <v>1</v>
      </c>
      <c r="AE3">
        <v>0</v>
      </c>
      <c r="AF3">
        <v>0</v>
      </c>
      <c r="AG3">
        <v>10</v>
      </c>
    </row>
    <row r="4" spans="1:39" x14ac:dyDescent="0.3">
      <c r="A4" s="41" t="s">
        <v>27</v>
      </c>
      <c r="B4" t="s">
        <v>28</v>
      </c>
      <c r="C4" t="s">
        <v>29</v>
      </c>
      <c r="D4" s="18" t="s">
        <v>30</v>
      </c>
      <c r="E4" s="10" t="s">
        <v>31</v>
      </c>
      <c r="F4" t="s">
        <v>32</v>
      </c>
      <c r="G4" t="s">
        <v>34</v>
      </c>
      <c r="H4">
        <v>8</v>
      </c>
      <c r="I4">
        <v>3</v>
      </c>
      <c r="J4">
        <v>2</v>
      </c>
      <c r="K4">
        <v>0</v>
      </c>
      <c r="L4">
        <v>0</v>
      </c>
      <c r="M4">
        <v>11</v>
      </c>
      <c r="X4" s="41" t="s">
        <v>27</v>
      </c>
      <c r="Y4" s="20" t="s">
        <v>509</v>
      </c>
      <c r="Z4" s="20" t="s">
        <v>28</v>
      </c>
      <c r="AA4" s="20" t="s">
        <v>34</v>
      </c>
      <c r="AB4" s="20">
        <v>8</v>
      </c>
      <c r="AC4">
        <v>3</v>
      </c>
      <c r="AD4">
        <v>2</v>
      </c>
      <c r="AE4">
        <v>0</v>
      </c>
      <c r="AF4">
        <v>0</v>
      </c>
      <c r="AG4">
        <v>11</v>
      </c>
    </row>
    <row r="5" spans="1:39" x14ac:dyDescent="0.3">
      <c r="A5" s="41" t="s">
        <v>58</v>
      </c>
      <c r="B5" t="s">
        <v>21</v>
      </c>
      <c r="C5" t="s">
        <v>29</v>
      </c>
      <c r="D5" s="18" t="s">
        <v>59</v>
      </c>
      <c r="E5" s="10" t="s">
        <v>60</v>
      </c>
      <c r="F5" t="s">
        <v>25</v>
      </c>
      <c r="G5" t="s">
        <v>61</v>
      </c>
      <c r="H5">
        <v>50</v>
      </c>
      <c r="I5">
        <v>23</v>
      </c>
      <c r="J5">
        <v>7</v>
      </c>
      <c r="K5">
        <v>0</v>
      </c>
      <c r="L5">
        <v>2</v>
      </c>
      <c r="M5">
        <v>6</v>
      </c>
      <c r="N5">
        <v>10</v>
      </c>
      <c r="S5" s="1"/>
      <c r="X5" s="41" t="s">
        <v>58</v>
      </c>
      <c r="Y5" s="20" t="s">
        <v>509</v>
      </c>
      <c r="Z5" s="20" t="s">
        <v>21</v>
      </c>
      <c r="AA5" s="20" t="s">
        <v>61</v>
      </c>
      <c r="AB5" s="20">
        <v>50</v>
      </c>
      <c r="AC5">
        <v>23</v>
      </c>
      <c r="AD5">
        <v>7</v>
      </c>
      <c r="AE5">
        <v>0</v>
      </c>
      <c r="AF5">
        <v>2</v>
      </c>
      <c r="AG5">
        <v>6</v>
      </c>
      <c r="AH5">
        <v>10</v>
      </c>
      <c r="AM5" s="1"/>
    </row>
    <row r="6" spans="1:39" hidden="1" x14ac:dyDescent="0.3">
      <c r="A6" s="41" t="s">
        <v>70</v>
      </c>
      <c r="B6" t="s">
        <v>53</v>
      </c>
      <c r="C6" t="s">
        <v>29</v>
      </c>
      <c r="D6" t="s">
        <v>71</v>
      </c>
      <c r="E6" t="s">
        <v>72</v>
      </c>
      <c r="F6" t="s">
        <v>56</v>
      </c>
      <c r="G6" t="s">
        <v>73</v>
      </c>
      <c r="H6">
        <v>15</v>
      </c>
      <c r="I6">
        <v>0</v>
      </c>
      <c r="J6">
        <v>0</v>
      </c>
      <c r="K6">
        <v>0</v>
      </c>
      <c r="L6">
        <v>0</v>
      </c>
      <c r="O6">
        <v>20</v>
      </c>
      <c r="R6">
        <v>15</v>
      </c>
      <c r="S6" s="1"/>
      <c r="X6" s="41" t="s">
        <v>139</v>
      </c>
      <c r="Y6" s="41"/>
      <c r="Z6" t="s">
        <v>21</v>
      </c>
      <c r="AA6" t="s">
        <v>143</v>
      </c>
      <c r="AB6">
        <v>30</v>
      </c>
      <c r="AC6">
        <v>0</v>
      </c>
      <c r="AD6">
        <v>0</v>
      </c>
      <c r="AE6">
        <v>0</v>
      </c>
      <c r="AF6">
        <v>0</v>
      </c>
      <c r="AI6">
        <v>5</v>
      </c>
      <c r="AL6">
        <v>13</v>
      </c>
      <c r="AM6" s="1"/>
    </row>
    <row r="7" spans="1:39" x14ac:dyDescent="0.3">
      <c r="A7" s="41" t="s">
        <v>139</v>
      </c>
      <c r="B7" t="s">
        <v>21</v>
      </c>
      <c r="C7" t="s">
        <v>22</v>
      </c>
      <c r="D7" t="s">
        <v>140</v>
      </c>
      <c r="E7" t="s">
        <v>141</v>
      </c>
      <c r="F7" t="s">
        <v>142</v>
      </c>
      <c r="G7" t="s">
        <v>143</v>
      </c>
      <c r="H7">
        <v>30</v>
      </c>
      <c r="I7">
        <v>0</v>
      </c>
      <c r="J7">
        <v>0</v>
      </c>
      <c r="K7">
        <v>0</v>
      </c>
      <c r="L7">
        <v>0</v>
      </c>
      <c r="O7">
        <v>5</v>
      </c>
      <c r="R7">
        <v>13</v>
      </c>
      <c r="S7" s="1"/>
      <c r="X7" s="41" t="s">
        <v>139</v>
      </c>
      <c r="Y7" s="20" t="s">
        <v>509</v>
      </c>
      <c r="Z7" s="20" t="s">
        <v>21</v>
      </c>
      <c r="AA7" s="20" t="s">
        <v>143</v>
      </c>
      <c r="AB7" s="20">
        <v>30</v>
      </c>
      <c r="AC7">
        <v>0</v>
      </c>
      <c r="AD7">
        <v>0</v>
      </c>
      <c r="AE7">
        <v>0</v>
      </c>
      <c r="AF7">
        <v>0</v>
      </c>
      <c r="AI7">
        <v>5</v>
      </c>
      <c r="AL7">
        <v>13</v>
      </c>
      <c r="AM7" s="1"/>
    </row>
    <row r="8" spans="1:39" x14ac:dyDescent="0.3">
      <c r="A8" s="41" t="s">
        <v>159</v>
      </c>
      <c r="B8" t="s">
        <v>28</v>
      </c>
      <c r="C8" t="s">
        <v>22</v>
      </c>
      <c r="D8" t="s">
        <v>160</v>
      </c>
      <c r="E8" t="s">
        <v>161</v>
      </c>
      <c r="F8" t="s">
        <v>162</v>
      </c>
      <c r="G8" t="s">
        <v>163</v>
      </c>
      <c r="H8">
        <v>13</v>
      </c>
      <c r="I8">
        <v>5</v>
      </c>
      <c r="J8">
        <v>2</v>
      </c>
      <c r="K8">
        <v>0</v>
      </c>
      <c r="L8">
        <v>0</v>
      </c>
      <c r="M8">
        <v>6</v>
      </c>
      <c r="O8">
        <v>3</v>
      </c>
      <c r="R8">
        <v>11</v>
      </c>
      <c r="S8" s="1"/>
      <c r="X8" s="41" t="s">
        <v>159</v>
      </c>
      <c r="Y8" s="20" t="s">
        <v>509</v>
      </c>
      <c r="Z8" s="20" t="s">
        <v>28</v>
      </c>
      <c r="AA8" s="20" t="s">
        <v>163</v>
      </c>
      <c r="AB8" s="20">
        <v>13</v>
      </c>
      <c r="AC8">
        <v>5</v>
      </c>
      <c r="AD8">
        <v>2</v>
      </c>
      <c r="AE8">
        <v>0</v>
      </c>
      <c r="AF8">
        <v>0</v>
      </c>
      <c r="AG8">
        <v>6</v>
      </c>
      <c r="AI8">
        <v>3</v>
      </c>
      <c r="AL8">
        <v>11</v>
      </c>
      <c r="AM8" s="1"/>
    </row>
    <row r="9" spans="1:39" hidden="1" x14ac:dyDescent="0.3">
      <c r="A9" s="41" t="s">
        <v>164</v>
      </c>
      <c r="B9" t="s">
        <v>53</v>
      </c>
      <c r="C9" t="s">
        <v>22</v>
      </c>
      <c r="D9" t="s">
        <v>165</v>
      </c>
      <c r="E9" t="s">
        <v>166</v>
      </c>
      <c r="F9" t="s">
        <v>32</v>
      </c>
      <c r="G9" t="s">
        <v>167</v>
      </c>
      <c r="H9">
        <v>32</v>
      </c>
      <c r="I9">
        <v>0</v>
      </c>
      <c r="J9">
        <v>0</v>
      </c>
      <c r="K9">
        <v>0</v>
      </c>
      <c r="L9">
        <v>0</v>
      </c>
      <c r="O9">
        <v>10</v>
      </c>
      <c r="P9">
        <v>3.5</v>
      </c>
      <c r="Q9">
        <v>10</v>
      </c>
      <c r="R9">
        <v>4.5</v>
      </c>
      <c r="X9" s="41" t="s">
        <v>183</v>
      </c>
      <c r="Y9" s="41"/>
      <c r="Z9" t="s">
        <v>28</v>
      </c>
      <c r="AA9" t="s">
        <v>187</v>
      </c>
      <c r="AB9">
        <v>35</v>
      </c>
      <c r="AC9">
        <v>0</v>
      </c>
      <c r="AD9">
        <v>0</v>
      </c>
      <c r="AE9">
        <v>0</v>
      </c>
      <c r="AF9">
        <v>0</v>
      </c>
      <c r="AM9" s="1"/>
    </row>
    <row r="10" spans="1:39" hidden="1" x14ac:dyDescent="0.3">
      <c r="A10" s="41" t="s">
        <v>170</v>
      </c>
      <c r="B10" t="s">
        <v>53</v>
      </c>
      <c r="C10" t="s">
        <v>175</v>
      </c>
      <c r="D10" t="s">
        <v>171</v>
      </c>
      <c r="E10" t="s">
        <v>172</v>
      </c>
      <c r="F10" t="s">
        <v>56</v>
      </c>
      <c r="G10" t="s">
        <v>173</v>
      </c>
      <c r="H10">
        <v>75</v>
      </c>
      <c r="I10">
        <v>0</v>
      </c>
      <c r="J10">
        <v>0</v>
      </c>
      <c r="K10">
        <v>0</v>
      </c>
      <c r="L10">
        <v>0</v>
      </c>
      <c r="O10">
        <v>6.5</v>
      </c>
      <c r="P10">
        <v>5</v>
      </c>
      <c r="Q10">
        <v>9</v>
      </c>
      <c r="R10">
        <v>3.5</v>
      </c>
      <c r="X10" s="41" t="s">
        <v>188</v>
      </c>
      <c r="Y10" s="41"/>
      <c r="Z10" t="s">
        <v>21</v>
      </c>
      <c r="AA10" t="s">
        <v>192</v>
      </c>
      <c r="AB10">
        <v>40</v>
      </c>
      <c r="AC10">
        <v>0</v>
      </c>
      <c r="AD10">
        <v>0</v>
      </c>
      <c r="AE10">
        <v>0</v>
      </c>
      <c r="AF10">
        <v>0</v>
      </c>
      <c r="AI10">
        <v>11.5</v>
      </c>
      <c r="AJ10">
        <v>5.5</v>
      </c>
      <c r="AK10">
        <v>10.5</v>
      </c>
      <c r="AL10">
        <v>6</v>
      </c>
      <c r="AM10" s="1"/>
    </row>
    <row r="11" spans="1:39" x14ac:dyDescent="0.3">
      <c r="A11" s="41" t="s">
        <v>176</v>
      </c>
      <c r="B11" t="s">
        <v>28</v>
      </c>
      <c r="C11" t="s">
        <v>22</v>
      </c>
      <c r="D11" s="18" t="s">
        <v>177</v>
      </c>
      <c r="E11" s="10" t="s">
        <v>178</v>
      </c>
      <c r="F11" t="s">
        <v>38</v>
      </c>
      <c r="G11" t="s">
        <v>179</v>
      </c>
      <c r="H11">
        <v>45</v>
      </c>
      <c r="I11">
        <v>16</v>
      </c>
      <c r="J11">
        <v>8</v>
      </c>
      <c r="K11">
        <v>0</v>
      </c>
      <c r="L11">
        <v>5</v>
      </c>
      <c r="X11" s="41" t="s">
        <v>176</v>
      </c>
      <c r="Y11" s="20" t="s">
        <v>509</v>
      </c>
      <c r="Z11" s="20" t="s">
        <v>28</v>
      </c>
      <c r="AA11" s="20" t="s">
        <v>179</v>
      </c>
      <c r="AB11" s="20">
        <v>45</v>
      </c>
      <c r="AC11">
        <v>16</v>
      </c>
      <c r="AD11">
        <v>8</v>
      </c>
      <c r="AE11">
        <v>0</v>
      </c>
      <c r="AF11">
        <v>5</v>
      </c>
    </row>
    <row r="12" spans="1:39" x14ac:dyDescent="0.3">
      <c r="A12" s="41" t="s">
        <v>183</v>
      </c>
      <c r="B12" t="s">
        <v>28</v>
      </c>
      <c r="C12" t="s">
        <v>22</v>
      </c>
      <c r="D12" t="s">
        <v>184</v>
      </c>
      <c r="E12" t="s">
        <v>185</v>
      </c>
      <c r="F12" t="s">
        <v>186</v>
      </c>
      <c r="G12" t="s">
        <v>187</v>
      </c>
      <c r="H12">
        <v>35</v>
      </c>
      <c r="I12">
        <v>0</v>
      </c>
      <c r="J12">
        <v>0</v>
      </c>
      <c r="K12">
        <v>0</v>
      </c>
      <c r="L12">
        <v>0</v>
      </c>
      <c r="S12" s="1"/>
      <c r="X12" s="41" t="s">
        <v>183</v>
      </c>
      <c r="Y12" s="20" t="s">
        <v>509</v>
      </c>
      <c r="Z12" s="20" t="s">
        <v>28</v>
      </c>
      <c r="AA12" s="20" t="s">
        <v>187</v>
      </c>
      <c r="AB12" s="20">
        <v>35</v>
      </c>
      <c r="AC12">
        <v>0</v>
      </c>
      <c r="AD12">
        <v>0</v>
      </c>
      <c r="AE12">
        <v>0</v>
      </c>
      <c r="AF12">
        <v>0</v>
      </c>
      <c r="AM12" s="1"/>
    </row>
    <row r="13" spans="1:39" x14ac:dyDescent="0.3">
      <c r="A13" s="41" t="s">
        <v>188</v>
      </c>
      <c r="B13" t="s">
        <v>21</v>
      </c>
      <c r="C13" t="s">
        <v>22</v>
      </c>
      <c r="D13" t="s">
        <v>189</v>
      </c>
      <c r="E13" t="s">
        <v>190</v>
      </c>
      <c r="F13" t="s">
        <v>191</v>
      </c>
      <c r="G13" t="s">
        <v>192</v>
      </c>
      <c r="H13">
        <v>40</v>
      </c>
      <c r="I13">
        <v>0</v>
      </c>
      <c r="J13">
        <v>0</v>
      </c>
      <c r="K13">
        <v>0</v>
      </c>
      <c r="L13">
        <v>0</v>
      </c>
      <c r="O13">
        <v>11.5</v>
      </c>
      <c r="P13">
        <v>5.5</v>
      </c>
      <c r="Q13">
        <v>10.5</v>
      </c>
      <c r="R13">
        <v>6</v>
      </c>
      <c r="S13" s="1"/>
      <c r="X13" s="41" t="s">
        <v>188</v>
      </c>
      <c r="Y13" s="20" t="s">
        <v>509</v>
      </c>
      <c r="Z13" s="20" t="s">
        <v>21</v>
      </c>
      <c r="AA13" s="20" t="s">
        <v>192</v>
      </c>
      <c r="AB13" s="20">
        <v>40</v>
      </c>
      <c r="AC13">
        <v>0</v>
      </c>
      <c r="AD13">
        <v>0</v>
      </c>
      <c r="AE13">
        <v>0</v>
      </c>
      <c r="AF13">
        <v>0</v>
      </c>
      <c r="AI13">
        <v>11.5</v>
      </c>
      <c r="AJ13">
        <v>5.5</v>
      </c>
      <c r="AK13">
        <v>10.5</v>
      </c>
      <c r="AL13">
        <v>6</v>
      </c>
      <c r="AM13" s="1"/>
    </row>
    <row r="14" spans="1:39" x14ac:dyDescent="0.3">
      <c r="A14" s="41" t="s">
        <v>219</v>
      </c>
      <c r="B14" t="s">
        <v>28</v>
      </c>
      <c r="C14" t="s">
        <v>22</v>
      </c>
      <c r="D14" t="s">
        <v>220</v>
      </c>
      <c r="E14" t="s">
        <v>221</v>
      </c>
      <c r="F14" t="s">
        <v>25</v>
      </c>
      <c r="G14" t="s">
        <v>163</v>
      </c>
      <c r="H14">
        <v>30</v>
      </c>
      <c r="I14">
        <v>0</v>
      </c>
      <c r="J14">
        <v>0</v>
      </c>
      <c r="K14">
        <v>0</v>
      </c>
      <c r="L14">
        <v>0</v>
      </c>
      <c r="O14">
        <v>9</v>
      </c>
      <c r="R14">
        <v>19</v>
      </c>
      <c r="S14" s="1"/>
      <c r="X14" s="41" t="s">
        <v>219</v>
      </c>
      <c r="Y14" s="20" t="s">
        <v>509</v>
      </c>
      <c r="Z14" s="20" t="s">
        <v>28</v>
      </c>
      <c r="AA14" s="20" t="s">
        <v>163</v>
      </c>
      <c r="AB14" s="20">
        <v>30</v>
      </c>
      <c r="AC14">
        <v>0</v>
      </c>
      <c r="AD14">
        <v>0</v>
      </c>
      <c r="AE14">
        <v>0</v>
      </c>
      <c r="AF14">
        <v>0</v>
      </c>
      <c r="AI14">
        <v>9</v>
      </c>
      <c r="AL14">
        <v>19</v>
      </c>
      <c r="AM14" s="1"/>
    </row>
    <row r="15" spans="1:39" x14ac:dyDescent="0.3">
      <c r="A15" s="41" t="s">
        <v>248</v>
      </c>
      <c r="B15" t="s">
        <v>21</v>
      </c>
      <c r="C15" t="s">
        <v>22</v>
      </c>
      <c r="D15" t="s">
        <v>249</v>
      </c>
      <c r="E15" t="s">
        <v>250</v>
      </c>
      <c r="F15" t="s">
        <v>251</v>
      </c>
      <c r="G15" t="s">
        <v>252</v>
      </c>
      <c r="H15">
        <v>40</v>
      </c>
      <c r="I15">
        <v>10</v>
      </c>
      <c r="J15">
        <v>2</v>
      </c>
      <c r="K15">
        <v>0</v>
      </c>
      <c r="L15">
        <v>1</v>
      </c>
      <c r="N15">
        <v>9</v>
      </c>
      <c r="O15">
        <v>19</v>
      </c>
      <c r="R15">
        <v>7</v>
      </c>
      <c r="S15" s="1"/>
      <c r="X15" s="41" t="s">
        <v>248</v>
      </c>
      <c r="Y15" s="20" t="s">
        <v>509</v>
      </c>
      <c r="Z15" s="20" t="s">
        <v>21</v>
      </c>
      <c r="AA15" s="20" t="s">
        <v>252</v>
      </c>
      <c r="AB15" s="20">
        <v>40</v>
      </c>
      <c r="AC15">
        <v>10</v>
      </c>
      <c r="AD15">
        <v>2</v>
      </c>
      <c r="AE15">
        <v>0</v>
      </c>
      <c r="AF15">
        <v>1</v>
      </c>
      <c r="AH15">
        <v>9</v>
      </c>
      <c r="AI15">
        <v>19</v>
      </c>
      <c r="AL15">
        <v>7</v>
      </c>
      <c r="AM15" s="1"/>
    </row>
    <row r="16" spans="1:39" x14ac:dyDescent="0.3">
      <c r="A16" s="41" t="s">
        <v>248</v>
      </c>
      <c r="B16" t="s">
        <v>21</v>
      </c>
      <c r="C16" t="s">
        <v>22</v>
      </c>
      <c r="D16" t="s">
        <v>249</v>
      </c>
      <c r="E16" t="s">
        <v>250</v>
      </c>
      <c r="F16" t="s">
        <v>251</v>
      </c>
      <c r="G16" t="s">
        <v>253</v>
      </c>
      <c r="H16">
        <v>100</v>
      </c>
      <c r="I16">
        <v>35</v>
      </c>
      <c r="J16">
        <v>15</v>
      </c>
      <c r="K16">
        <v>0</v>
      </c>
      <c r="L16">
        <v>4</v>
      </c>
      <c r="N16">
        <v>9</v>
      </c>
      <c r="O16">
        <v>19</v>
      </c>
      <c r="R16">
        <v>7</v>
      </c>
      <c r="S16" s="1"/>
      <c r="X16" s="41" t="s">
        <v>248</v>
      </c>
      <c r="Y16" s="20" t="s">
        <v>509</v>
      </c>
      <c r="Z16" s="20" t="s">
        <v>21</v>
      </c>
      <c r="AA16" s="20" t="s">
        <v>253</v>
      </c>
      <c r="AB16" s="20">
        <v>100</v>
      </c>
      <c r="AC16">
        <v>35</v>
      </c>
      <c r="AD16">
        <v>15</v>
      </c>
      <c r="AE16">
        <v>0</v>
      </c>
      <c r="AF16">
        <v>4</v>
      </c>
      <c r="AH16">
        <v>9</v>
      </c>
      <c r="AI16">
        <v>19</v>
      </c>
      <c r="AL16">
        <v>7</v>
      </c>
      <c r="AM16" s="1"/>
    </row>
    <row r="17" spans="1:39" x14ac:dyDescent="0.3">
      <c r="A17" s="3" t="s">
        <v>248</v>
      </c>
      <c r="B17" s="3" t="s">
        <v>21</v>
      </c>
      <c r="C17" s="3" t="s">
        <v>22</v>
      </c>
      <c r="D17" s="3" t="s">
        <v>249</v>
      </c>
      <c r="E17" s="3" t="s">
        <v>250</v>
      </c>
      <c r="F17" s="3" t="s">
        <v>251</v>
      </c>
      <c r="G17" s="3" t="s">
        <v>254</v>
      </c>
      <c r="H17" s="3">
        <v>0</v>
      </c>
      <c r="I17" s="3">
        <v>12</v>
      </c>
      <c r="J17" s="3">
        <v>6</v>
      </c>
      <c r="K17" s="3">
        <v>0</v>
      </c>
      <c r="L17" s="3">
        <v>1</v>
      </c>
      <c r="M17" s="3"/>
      <c r="N17" s="3">
        <v>9</v>
      </c>
      <c r="O17" s="3">
        <v>19</v>
      </c>
      <c r="P17" s="3"/>
      <c r="Q17" s="3"/>
      <c r="R17" s="3">
        <v>7</v>
      </c>
      <c r="S17" s="1"/>
      <c r="X17" s="41" t="s">
        <v>291</v>
      </c>
      <c r="Y17" s="20" t="s">
        <v>509</v>
      </c>
      <c r="Z17" s="20" t="s">
        <v>21</v>
      </c>
      <c r="AA17" s="20" t="s">
        <v>294</v>
      </c>
      <c r="AB17" s="20">
        <v>20</v>
      </c>
      <c r="AM17" s="1"/>
    </row>
    <row r="18" spans="1:39" x14ac:dyDescent="0.3">
      <c r="A18" s="41" t="s">
        <v>291</v>
      </c>
      <c r="B18" t="s">
        <v>21</v>
      </c>
      <c r="C18" t="s">
        <v>22</v>
      </c>
      <c r="D18" s="18" t="s">
        <v>292</v>
      </c>
      <c r="E18" s="10" t="s">
        <v>293</v>
      </c>
      <c r="F18" t="s">
        <v>25</v>
      </c>
      <c r="G18" t="s">
        <v>294</v>
      </c>
      <c r="H18">
        <v>20</v>
      </c>
      <c r="S18" s="1"/>
      <c r="X18" s="41" t="s">
        <v>298</v>
      </c>
      <c r="Y18" s="20" t="s">
        <v>509</v>
      </c>
      <c r="Z18" s="20" t="s">
        <v>21</v>
      </c>
      <c r="AA18" s="20" t="s">
        <v>302</v>
      </c>
      <c r="AB18" s="20">
        <v>65</v>
      </c>
      <c r="AC18">
        <v>15</v>
      </c>
      <c r="AD18">
        <v>6</v>
      </c>
      <c r="AE18">
        <v>0</v>
      </c>
      <c r="AF18">
        <v>3</v>
      </c>
      <c r="AG18">
        <v>5</v>
      </c>
      <c r="AI18">
        <v>7.5</v>
      </c>
      <c r="AJ18">
        <v>4.5</v>
      </c>
      <c r="AK18">
        <v>7</v>
      </c>
      <c r="AL18">
        <v>2</v>
      </c>
      <c r="AM18" s="1"/>
    </row>
    <row r="19" spans="1:39" x14ac:dyDescent="0.3">
      <c r="A19" s="41" t="s">
        <v>298</v>
      </c>
      <c r="B19" t="s">
        <v>21</v>
      </c>
      <c r="C19" t="s">
        <v>22</v>
      </c>
      <c r="D19" t="s">
        <v>299</v>
      </c>
      <c r="E19" t="s">
        <v>300</v>
      </c>
      <c r="F19" t="s">
        <v>301</v>
      </c>
      <c r="G19" t="s">
        <v>302</v>
      </c>
      <c r="H19">
        <v>65</v>
      </c>
      <c r="I19">
        <v>15</v>
      </c>
      <c r="J19">
        <v>6</v>
      </c>
      <c r="K19">
        <v>0</v>
      </c>
      <c r="L19">
        <v>3</v>
      </c>
      <c r="M19">
        <v>5</v>
      </c>
      <c r="O19">
        <v>7.5</v>
      </c>
      <c r="P19">
        <v>4.5</v>
      </c>
      <c r="Q19">
        <v>7</v>
      </c>
      <c r="R19">
        <v>2</v>
      </c>
      <c r="S19" s="1"/>
      <c r="X19" s="41" t="s">
        <v>337</v>
      </c>
      <c r="Y19" s="20" t="s">
        <v>509</v>
      </c>
      <c r="Z19" s="20" t="s">
        <v>21</v>
      </c>
      <c r="AA19" s="20" t="s">
        <v>339</v>
      </c>
      <c r="AB19" s="20">
        <v>30</v>
      </c>
      <c r="AC19">
        <v>12</v>
      </c>
      <c r="AD19">
        <v>5</v>
      </c>
      <c r="AE19">
        <v>0</v>
      </c>
      <c r="AF19">
        <v>0</v>
      </c>
    </row>
    <row r="20" spans="1:39" x14ac:dyDescent="0.3">
      <c r="A20" s="7" t="s">
        <v>322</v>
      </c>
      <c r="B20" s="7" t="s">
        <v>21</v>
      </c>
      <c r="C20" s="7"/>
      <c r="D20" s="40" t="s">
        <v>323</v>
      </c>
      <c r="E20" s="40" t="s">
        <v>324</v>
      </c>
      <c r="F20" s="7" t="s">
        <v>32</v>
      </c>
      <c r="G20" s="7" t="s">
        <v>226</v>
      </c>
      <c r="H20" s="7">
        <v>0</v>
      </c>
      <c r="I20" s="7">
        <v>15</v>
      </c>
      <c r="J20" s="7">
        <v>2</v>
      </c>
      <c r="K20" s="7">
        <v>0</v>
      </c>
      <c r="L20" s="7">
        <v>0</v>
      </c>
      <c r="M20" s="7"/>
      <c r="N20" s="7"/>
      <c r="O20" s="7"/>
      <c r="P20" s="7"/>
      <c r="Q20" s="7"/>
      <c r="R20" s="7"/>
      <c r="S20" t="s">
        <v>510</v>
      </c>
      <c r="X20" s="41" t="s">
        <v>359</v>
      </c>
      <c r="Y20" s="20" t="s">
        <v>509</v>
      </c>
      <c r="Z20" s="20" t="s">
        <v>21</v>
      </c>
      <c r="AA20" s="20" t="s">
        <v>362</v>
      </c>
      <c r="AB20" s="20">
        <v>16</v>
      </c>
      <c r="AC20">
        <v>4</v>
      </c>
      <c r="AD20">
        <v>2</v>
      </c>
      <c r="AE20">
        <v>4</v>
      </c>
      <c r="AF20">
        <v>1</v>
      </c>
      <c r="AI20">
        <v>6.5</v>
      </c>
      <c r="AJ20">
        <v>6</v>
      </c>
      <c r="AK20">
        <v>3</v>
      </c>
      <c r="AL20">
        <v>4</v>
      </c>
    </row>
    <row r="21" spans="1:39" hidden="1" x14ac:dyDescent="0.3">
      <c r="A21" s="41" t="s">
        <v>330</v>
      </c>
      <c r="B21" t="s">
        <v>53</v>
      </c>
      <c r="C21" t="s">
        <v>29</v>
      </c>
      <c r="D21" t="s">
        <v>331</v>
      </c>
      <c r="E21" t="s">
        <v>332</v>
      </c>
      <c r="F21" t="s">
        <v>56</v>
      </c>
      <c r="G21" t="s">
        <v>262</v>
      </c>
      <c r="H21">
        <v>25</v>
      </c>
      <c r="I21">
        <v>0</v>
      </c>
      <c r="J21">
        <v>0</v>
      </c>
      <c r="K21">
        <v>0</v>
      </c>
      <c r="L21">
        <v>0</v>
      </c>
      <c r="O21">
        <v>5.5</v>
      </c>
      <c r="P21">
        <v>9</v>
      </c>
      <c r="Q21">
        <v>1</v>
      </c>
      <c r="R21">
        <v>6</v>
      </c>
      <c r="X21" s="42" t="s">
        <v>381</v>
      </c>
      <c r="Y21" s="42"/>
      <c r="Z21" t="s">
        <v>21</v>
      </c>
      <c r="AA21" t="s">
        <v>225</v>
      </c>
      <c r="AB21">
        <v>35</v>
      </c>
      <c r="AC21">
        <v>10</v>
      </c>
      <c r="AD21">
        <v>5</v>
      </c>
      <c r="AE21">
        <v>3</v>
      </c>
      <c r="AF21">
        <v>1</v>
      </c>
      <c r="AH21">
        <v>10</v>
      </c>
      <c r="AI21">
        <v>20</v>
      </c>
      <c r="AL21">
        <v>9</v>
      </c>
    </row>
    <row r="22" spans="1:39" hidden="1" x14ac:dyDescent="0.3">
      <c r="A22" s="41" t="s">
        <v>330</v>
      </c>
      <c r="B22" t="s">
        <v>53</v>
      </c>
      <c r="C22" t="s">
        <v>29</v>
      </c>
      <c r="D22" t="s">
        <v>331</v>
      </c>
      <c r="E22" t="s">
        <v>332</v>
      </c>
      <c r="F22" t="s">
        <v>56</v>
      </c>
      <c r="G22" t="s">
        <v>333</v>
      </c>
      <c r="H22">
        <v>40</v>
      </c>
      <c r="I22">
        <v>0</v>
      </c>
      <c r="J22">
        <v>0</v>
      </c>
      <c r="K22">
        <v>0</v>
      </c>
      <c r="L22">
        <v>0</v>
      </c>
      <c r="O22">
        <v>5.5</v>
      </c>
      <c r="P22">
        <v>9</v>
      </c>
      <c r="Q22">
        <v>1</v>
      </c>
      <c r="R22">
        <v>6</v>
      </c>
      <c r="X22" s="41" t="s">
        <v>417</v>
      </c>
      <c r="Y22" s="41"/>
      <c r="Z22" t="s">
        <v>21</v>
      </c>
      <c r="AA22" t="s">
        <v>420</v>
      </c>
      <c r="AB22">
        <v>25</v>
      </c>
      <c r="AC22">
        <v>6</v>
      </c>
      <c r="AD22">
        <v>4</v>
      </c>
      <c r="AE22">
        <v>0</v>
      </c>
      <c r="AF22">
        <v>1</v>
      </c>
      <c r="AI22">
        <v>20</v>
      </c>
      <c r="AL22">
        <v>14</v>
      </c>
    </row>
    <row r="23" spans="1:39" hidden="1" x14ac:dyDescent="0.3">
      <c r="A23" s="41" t="s">
        <v>330</v>
      </c>
      <c r="B23" t="s">
        <v>53</v>
      </c>
      <c r="C23" t="s">
        <v>29</v>
      </c>
      <c r="D23" t="s">
        <v>331</v>
      </c>
      <c r="E23" t="s">
        <v>332</v>
      </c>
      <c r="F23" t="s">
        <v>56</v>
      </c>
      <c r="G23" t="s">
        <v>334</v>
      </c>
      <c r="H23">
        <v>30</v>
      </c>
      <c r="I23">
        <v>0</v>
      </c>
      <c r="J23">
        <v>0</v>
      </c>
      <c r="K23">
        <v>0</v>
      </c>
      <c r="L23">
        <v>0</v>
      </c>
      <c r="O23">
        <v>5.5</v>
      </c>
      <c r="P23">
        <v>9</v>
      </c>
      <c r="Q23">
        <v>1</v>
      </c>
      <c r="R23">
        <v>6</v>
      </c>
      <c r="X23" s="41" t="s">
        <v>446</v>
      </c>
      <c r="Y23" s="41"/>
      <c r="Z23" t="s">
        <v>28</v>
      </c>
      <c r="AA23" t="s">
        <v>449</v>
      </c>
      <c r="AB23">
        <v>33</v>
      </c>
      <c r="AC23">
        <v>10</v>
      </c>
      <c r="AD23">
        <v>5</v>
      </c>
      <c r="AE23">
        <v>0</v>
      </c>
      <c r="AF23">
        <v>5</v>
      </c>
      <c r="AG23">
        <v>9</v>
      </c>
      <c r="AI23">
        <v>7</v>
      </c>
      <c r="AL23">
        <v>16</v>
      </c>
    </row>
    <row r="24" spans="1:39" hidden="1" x14ac:dyDescent="0.3">
      <c r="A24" s="41" t="s">
        <v>330</v>
      </c>
      <c r="B24" t="s">
        <v>53</v>
      </c>
      <c r="C24" t="s">
        <v>29</v>
      </c>
      <c r="D24" t="s">
        <v>331</v>
      </c>
      <c r="E24" t="s">
        <v>332</v>
      </c>
      <c r="F24" t="s">
        <v>56</v>
      </c>
      <c r="G24" t="s">
        <v>333</v>
      </c>
      <c r="H24">
        <v>15</v>
      </c>
      <c r="I24">
        <v>0</v>
      </c>
      <c r="J24">
        <v>0</v>
      </c>
      <c r="K24">
        <v>0</v>
      </c>
      <c r="L24">
        <v>0</v>
      </c>
      <c r="O24">
        <v>6.5</v>
      </c>
      <c r="P24">
        <v>6.5</v>
      </c>
      <c r="Q24">
        <v>2</v>
      </c>
      <c r="R24">
        <v>4</v>
      </c>
      <c r="S24" s="1"/>
      <c r="X24" s="41" t="s">
        <v>450</v>
      </c>
      <c r="Y24" s="41"/>
      <c r="Z24" t="s">
        <v>28</v>
      </c>
      <c r="AA24" t="s">
        <v>453</v>
      </c>
      <c r="AB24">
        <v>25</v>
      </c>
      <c r="AC24">
        <v>10</v>
      </c>
      <c r="AD24">
        <v>5</v>
      </c>
      <c r="AE24">
        <v>0</v>
      </c>
      <c r="AF24">
        <v>3</v>
      </c>
      <c r="AG24">
        <v>8</v>
      </c>
      <c r="AI24">
        <v>6</v>
      </c>
      <c r="AL24">
        <v>16</v>
      </c>
    </row>
    <row r="25" spans="1:39" hidden="1" x14ac:dyDescent="0.3">
      <c r="A25" s="41" t="s">
        <v>330</v>
      </c>
      <c r="B25" t="s">
        <v>53</v>
      </c>
      <c r="C25" t="s">
        <v>29</v>
      </c>
      <c r="D25" t="s">
        <v>331</v>
      </c>
      <c r="E25" t="s">
        <v>332</v>
      </c>
      <c r="F25" t="s">
        <v>56</v>
      </c>
      <c r="G25" t="s">
        <v>335</v>
      </c>
      <c r="H25">
        <v>15</v>
      </c>
      <c r="I25">
        <v>0</v>
      </c>
      <c r="J25">
        <v>0</v>
      </c>
      <c r="K25">
        <v>0</v>
      </c>
      <c r="L25">
        <v>0</v>
      </c>
      <c r="O25">
        <v>7.5</v>
      </c>
      <c r="P25">
        <v>2</v>
      </c>
      <c r="Q25">
        <v>9.5</v>
      </c>
      <c r="R25">
        <v>3</v>
      </c>
      <c r="S25" s="1"/>
      <c r="X25" s="41" t="s">
        <v>454</v>
      </c>
      <c r="Y25" s="41"/>
      <c r="Z25" t="s">
        <v>21</v>
      </c>
      <c r="AA25" t="s">
        <v>268</v>
      </c>
      <c r="AB25">
        <v>40</v>
      </c>
      <c r="AC25">
        <v>14</v>
      </c>
      <c r="AD25">
        <v>4</v>
      </c>
      <c r="AE25">
        <v>0</v>
      </c>
      <c r="AF25">
        <v>2</v>
      </c>
      <c r="AH25">
        <v>9</v>
      </c>
      <c r="AI25">
        <v>33</v>
      </c>
      <c r="AL25">
        <v>25</v>
      </c>
    </row>
    <row r="26" spans="1:39" hidden="1" x14ac:dyDescent="0.3">
      <c r="A26" s="41" t="s">
        <v>330</v>
      </c>
      <c r="B26" t="s">
        <v>53</v>
      </c>
      <c r="C26" t="s">
        <v>29</v>
      </c>
      <c r="D26" t="s">
        <v>331</v>
      </c>
      <c r="E26" t="s">
        <v>332</v>
      </c>
      <c r="F26" t="s">
        <v>56</v>
      </c>
      <c r="G26" t="s">
        <v>268</v>
      </c>
      <c r="H26">
        <v>20</v>
      </c>
      <c r="I26">
        <v>0</v>
      </c>
      <c r="J26">
        <v>0</v>
      </c>
      <c r="K26">
        <v>0</v>
      </c>
      <c r="L26">
        <v>0</v>
      </c>
      <c r="O26">
        <v>7.5</v>
      </c>
      <c r="P26">
        <v>4</v>
      </c>
      <c r="Q26">
        <v>9.5</v>
      </c>
      <c r="R26">
        <v>3</v>
      </c>
      <c r="S26" s="1"/>
    </row>
    <row r="27" spans="1:39" hidden="1" x14ac:dyDescent="0.3">
      <c r="A27" s="41" t="s">
        <v>330</v>
      </c>
      <c r="B27" t="s">
        <v>53</v>
      </c>
      <c r="C27" t="s">
        <v>29</v>
      </c>
      <c r="D27" t="s">
        <v>331</v>
      </c>
      <c r="E27" t="s">
        <v>332</v>
      </c>
      <c r="F27" t="s">
        <v>56</v>
      </c>
      <c r="G27" t="s">
        <v>336</v>
      </c>
      <c r="H27">
        <v>20</v>
      </c>
      <c r="I27">
        <v>0</v>
      </c>
      <c r="J27">
        <v>0</v>
      </c>
      <c r="K27">
        <v>0</v>
      </c>
      <c r="L27">
        <v>0</v>
      </c>
      <c r="O27">
        <v>7.5</v>
      </c>
      <c r="P27">
        <v>4</v>
      </c>
      <c r="Q27">
        <v>9.5</v>
      </c>
      <c r="R27">
        <v>3</v>
      </c>
      <c r="S27" s="1"/>
    </row>
    <row r="28" spans="1:39" x14ac:dyDescent="0.3">
      <c r="A28" s="41" t="s">
        <v>337</v>
      </c>
      <c r="B28" t="s">
        <v>21</v>
      </c>
      <c r="C28" t="s">
        <v>22</v>
      </c>
      <c r="D28" s="18" t="s">
        <v>338</v>
      </c>
      <c r="E28" s="10">
        <v>7316085780</v>
      </c>
      <c r="F28" t="s">
        <v>211</v>
      </c>
      <c r="G28" t="s">
        <v>339</v>
      </c>
      <c r="H28">
        <v>30</v>
      </c>
      <c r="I28">
        <v>12</v>
      </c>
      <c r="J28">
        <v>5</v>
      </c>
      <c r="K28">
        <v>0</v>
      </c>
      <c r="L28">
        <v>0</v>
      </c>
      <c r="X28" s="42" t="s">
        <v>381</v>
      </c>
      <c r="Y28" s="20" t="s">
        <v>509</v>
      </c>
      <c r="Z28" s="20" t="s">
        <v>21</v>
      </c>
      <c r="AA28" s="20" t="s">
        <v>225</v>
      </c>
      <c r="AB28" s="20">
        <v>35</v>
      </c>
      <c r="AC28">
        <v>10</v>
      </c>
      <c r="AD28">
        <v>5</v>
      </c>
      <c r="AE28">
        <v>3</v>
      </c>
      <c r="AF28">
        <v>1</v>
      </c>
      <c r="AH28">
        <v>10</v>
      </c>
      <c r="AI28">
        <v>20</v>
      </c>
      <c r="AL28">
        <v>9</v>
      </c>
    </row>
    <row r="29" spans="1:39" hidden="1" x14ac:dyDescent="0.3">
      <c r="A29" s="41" t="s">
        <v>342</v>
      </c>
      <c r="B29" t="s">
        <v>53</v>
      </c>
      <c r="C29" t="s">
        <v>29</v>
      </c>
      <c r="D29" s="18" t="s">
        <v>343</v>
      </c>
      <c r="E29" s="10" t="s">
        <v>344</v>
      </c>
      <c r="F29" t="s">
        <v>56</v>
      </c>
      <c r="G29" t="s">
        <v>321</v>
      </c>
      <c r="H29">
        <v>135</v>
      </c>
      <c r="I29">
        <v>0</v>
      </c>
      <c r="J29">
        <v>0</v>
      </c>
      <c r="K29">
        <v>0</v>
      </c>
      <c r="L29">
        <v>0</v>
      </c>
      <c r="X29" s="41" t="s">
        <v>417</v>
      </c>
      <c r="Y29" s="41"/>
      <c r="Z29" t="s">
        <v>21</v>
      </c>
      <c r="AA29" t="s">
        <v>420</v>
      </c>
      <c r="AB29">
        <v>25</v>
      </c>
      <c r="AC29">
        <v>6</v>
      </c>
      <c r="AD29">
        <v>4</v>
      </c>
      <c r="AE29">
        <v>0</v>
      </c>
      <c r="AF29">
        <v>1</v>
      </c>
      <c r="AI29">
        <v>20</v>
      </c>
      <c r="AL29">
        <v>14</v>
      </c>
    </row>
    <row r="30" spans="1:39" x14ac:dyDescent="0.3">
      <c r="A30" s="41" t="s">
        <v>359</v>
      </c>
      <c r="B30" t="s">
        <v>21</v>
      </c>
      <c r="C30" t="s">
        <v>22</v>
      </c>
      <c r="D30" t="s">
        <v>360</v>
      </c>
      <c r="E30" t="s">
        <v>361</v>
      </c>
      <c r="F30" t="s">
        <v>142</v>
      </c>
      <c r="G30" t="s">
        <v>362</v>
      </c>
      <c r="H30">
        <v>16</v>
      </c>
      <c r="I30">
        <v>4</v>
      </c>
      <c r="J30">
        <v>2</v>
      </c>
      <c r="K30">
        <v>4</v>
      </c>
      <c r="L30">
        <v>1</v>
      </c>
      <c r="O30">
        <v>6.5</v>
      </c>
      <c r="P30">
        <v>6</v>
      </c>
      <c r="Q30">
        <v>3</v>
      </c>
      <c r="R30">
        <v>4</v>
      </c>
      <c r="S30" s="1"/>
      <c r="X30" s="41" t="s">
        <v>446</v>
      </c>
      <c r="Y30" s="20" t="s">
        <v>509</v>
      </c>
      <c r="Z30" s="20" t="s">
        <v>28</v>
      </c>
      <c r="AA30" s="20" t="s">
        <v>449</v>
      </c>
      <c r="AB30" s="20">
        <v>33</v>
      </c>
      <c r="AC30">
        <v>10</v>
      </c>
      <c r="AD30">
        <v>5</v>
      </c>
      <c r="AE30">
        <v>0</v>
      </c>
      <c r="AF30">
        <v>5</v>
      </c>
      <c r="AG30">
        <v>9</v>
      </c>
      <c r="AI30">
        <v>7</v>
      </c>
      <c r="AL30">
        <v>16</v>
      </c>
    </row>
    <row r="31" spans="1:39" x14ac:dyDescent="0.3">
      <c r="A31" s="42" t="s">
        <v>381</v>
      </c>
      <c r="B31" t="s">
        <v>21</v>
      </c>
      <c r="C31" t="s">
        <v>22</v>
      </c>
      <c r="D31" t="s">
        <v>382</v>
      </c>
      <c r="E31" t="s">
        <v>383</v>
      </c>
      <c r="F31" t="s">
        <v>142</v>
      </c>
      <c r="G31" t="s">
        <v>225</v>
      </c>
      <c r="H31">
        <v>35</v>
      </c>
      <c r="I31">
        <v>10</v>
      </c>
      <c r="J31">
        <v>5</v>
      </c>
      <c r="K31">
        <v>3</v>
      </c>
      <c r="L31">
        <v>1</v>
      </c>
      <c r="N31">
        <v>10</v>
      </c>
      <c r="O31">
        <v>20</v>
      </c>
      <c r="R31">
        <v>9</v>
      </c>
      <c r="S31" s="1"/>
      <c r="X31" s="41" t="s">
        <v>450</v>
      </c>
      <c r="Y31" s="20" t="s">
        <v>509</v>
      </c>
      <c r="Z31" s="20" t="s">
        <v>28</v>
      </c>
      <c r="AA31" s="20" t="s">
        <v>453</v>
      </c>
      <c r="AB31" s="20">
        <v>25</v>
      </c>
      <c r="AC31">
        <v>10</v>
      </c>
      <c r="AD31">
        <v>5</v>
      </c>
      <c r="AE31">
        <v>0</v>
      </c>
      <c r="AF31">
        <v>3</v>
      </c>
      <c r="AG31">
        <v>8</v>
      </c>
      <c r="AI31">
        <v>6</v>
      </c>
      <c r="AL31">
        <v>16</v>
      </c>
    </row>
    <row r="32" spans="1:39" x14ac:dyDescent="0.3">
      <c r="A32" s="41" t="s">
        <v>417</v>
      </c>
      <c r="B32" t="s">
        <v>21</v>
      </c>
      <c r="C32" t="s">
        <v>22</v>
      </c>
      <c r="D32" t="s">
        <v>418</v>
      </c>
      <c r="E32" t="s">
        <v>419</v>
      </c>
      <c r="F32" t="s">
        <v>25</v>
      </c>
      <c r="G32" t="s">
        <v>420</v>
      </c>
      <c r="H32">
        <v>25</v>
      </c>
      <c r="I32">
        <v>6</v>
      </c>
      <c r="J32">
        <v>4</v>
      </c>
      <c r="K32">
        <v>0</v>
      </c>
      <c r="L32">
        <v>1</v>
      </c>
      <c r="O32">
        <v>20</v>
      </c>
      <c r="R32">
        <v>14</v>
      </c>
      <c r="S32" s="1"/>
      <c r="X32" s="41" t="s">
        <v>454</v>
      </c>
      <c r="Y32" s="20" t="s">
        <v>509</v>
      </c>
      <c r="Z32" s="20" t="s">
        <v>21</v>
      </c>
      <c r="AA32" s="20" t="s">
        <v>268</v>
      </c>
      <c r="AB32" s="20">
        <v>40</v>
      </c>
      <c r="AC32">
        <v>14</v>
      </c>
      <c r="AD32">
        <v>4</v>
      </c>
      <c r="AE32">
        <v>0</v>
      </c>
      <c r="AF32">
        <v>2</v>
      </c>
      <c r="AH32">
        <v>9</v>
      </c>
      <c r="AI32">
        <v>33</v>
      </c>
      <c r="AL32">
        <v>25</v>
      </c>
    </row>
    <row r="33" spans="1:32" x14ac:dyDescent="0.3">
      <c r="A33" s="41" t="s">
        <v>446</v>
      </c>
      <c r="B33" t="s">
        <v>28</v>
      </c>
      <c r="D33" t="s">
        <v>447</v>
      </c>
      <c r="E33" t="s">
        <v>448</v>
      </c>
      <c r="F33" t="s">
        <v>38</v>
      </c>
      <c r="G33" t="s">
        <v>449</v>
      </c>
      <c r="H33">
        <v>33</v>
      </c>
      <c r="I33">
        <v>10</v>
      </c>
      <c r="J33">
        <v>5</v>
      </c>
      <c r="K33">
        <v>0</v>
      </c>
      <c r="L33">
        <v>5</v>
      </c>
      <c r="M33">
        <v>9</v>
      </c>
      <c r="O33">
        <v>7</v>
      </c>
      <c r="R33">
        <v>16</v>
      </c>
      <c r="S33" s="1"/>
      <c r="X33" s="41" t="s">
        <v>222</v>
      </c>
      <c r="Y33" s="20" t="s">
        <v>509</v>
      </c>
      <c r="Z33" s="20" t="s">
        <v>21</v>
      </c>
      <c r="AA33" s="20" t="s">
        <v>192</v>
      </c>
      <c r="AB33" s="20">
        <v>235</v>
      </c>
      <c r="AC33">
        <v>95</v>
      </c>
      <c r="AD33">
        <v>45</v>
      </c>
      <c r="AE33">
        <v>0</v>
      </c>
      <c r="AF33">
        <v>14</v>
      </c>
    </row>
    <row r="34" spans="1:32" x14ac:dyDescent="0.3">
      <c r="A34" s="41" t="s">
        <v>450</v>
      </c>
      <c r="B34" t="s">
        <v>28</v>
      </c>
      <c r="C34" t="s">
        <v>22</v>
      </c>
      <c r="D34" t="s">
        <v>451</v>
      </c>
      <c r="E34" t="s">
        <v>452</v>
      </c>
      <c r="F34" t="s">
        <v>38</v>
      </c>
      <c r="G34" t="s">
        <v>453</v>
      </c>
      <c r="H34">
        <v>25</v>
      </c>
      <c r="I34">
        <v>10</v>
      </c>
      <c r="J34">
        <v>5</v>
      </c>
      <c r="K34">
        <v>0</v>
      </c>
      <c r="L34">
        <v>3</v>
      </c>
      <c r="M34">
        <v>8</v>
      </c>
      <c r="O34">
        <v>6</v>
      </c>
      <c r="R34">
        <v>16</v>
      </c>
      <c r="S34" s="1"/>
      <c r="X34" s="41" t="s">
        <v>222</v>
      </c>
      <c r="Y34" s="20" t="s">
        <v>509</v>
      </c>
      <c r="Z34" s="20" t="s">
        <v>21</v>
      </c>
      <c r="AA34" s="20" t="s">
        <v>225</v>
      </c>
      <c r="AB34" s="20">
        <v>33</v>
      </c>
      <c r="AC34">
        <v>10</v>
      </c>
      <c r="AD34">
        <v>0</v>
      </c>
      <c r="AE34">
        <v>0</v>
      </c>
      <c r="AF34">
        <v>1</v>
      </c>
    </row>
    <row r="35" spans="1:32" x14ac:dyDescent="0.3">
      <c r="A35" s="41" t="s">
        <v>454</v>
      </c>
      <c r="B35" t="s">
        <v>21</v>
      </c>
      <c r="C35" t="s">
        <v>22</v>
      </c>
      <c r="D35" t="s">
        <v>455</v>
      </c>
      <c r="E35" t="s">
        <v>456</v>
      </c>
      <c r="F35" t="s">
        <v>142</v>
      </c>
      <c r="G35" t="s">
        <v>268</v>
      </c>
      <c r="H35">
        <v>40</v>
      </c>
      <c r="I35">
        <v>14</v>
      </c>
      <c r="J35">
        <v>4</v>
      </c>
      <c r="K35">
        <v>0</v>
      </c>
      <c r="L35">
        <v>2</v>
      </c>
      <c r="N35">
        <v>9</v>
      </c>
      <c r="O35">
        <v>33</v>
      </c>
      <c r="R35">
        <v>25</v>
      </c>
      <c r="S35" s="1"/>
      <c r="X35" s="41" t="s">
        <v>222</v>
      </c>
      <c r="Y35" s="20" t="s">
        <v>509</v>
      </c>
      <c r="Z35" s="20" t="s">
        <v>21</v>
      </c>
      <c r="AA35" s="20" t="s">
        <v>26</v>
      </c>
      <c r="AB35" s="20">
        <v>45</v>
      </c>
      <c r="AC35">
        <v>15</v>
      </c>
      <c r="AD35">
        <v>4</v>
      </c>
      <c r="AE35">
        <v>0</v>
      </c>
      <c r="AF35">
        <v>0</v>
      </c>
    </row>
    <row r="36" spans="1:32" hidden="1" x14ac:dyDescent="0.3">
      <c r="A36" s="41" t="s">
        <v>467</v>
      </c>
      <c r="B36" t="s">
        <v>53</v>
      </c>
      <c r="C36" t="s">
        <v>29</v>
      </c>
      <c r="D36" t="s">
        <v>468</v>
      </c>
      <c r="E36" t="s">
        <v>469</v>
      </c>
      <c r="F36" t="s">
        <v>56</v>
      </c>
      <c r="G36" t="s">
        <v>470</v>
      </c>
      <c r="H36">
        <v>36</v>
      </c>
      <c r="I36">
        <v>0</v>
      </c>
      <c r="J36">
        <v>0</v>
      </c>
      <c r="K36">
        <v>0</v>
      </c>
      <c r="L36">
        <v>0</v>
      </c>
      <c r="O36">
        <v>10</v>
      </c>
      <c r="P36">
        <v>3</v>
      </c>
      <c r="Q36">
        <v>9.5</v>
      </c>
      <c r="R36">
        <v>4</v>
      </c>
      <c r="S36" s="1"/>
      <c r="X36" s="41" t="s">
        <v>222</v>
      </c>
      <c r="Y36" s="41"/>
      <c r="Z36" t="s">
        <v>21</v>
      </c>
      <c r="AA36" t="s">
        <v>226</v>
      </c>
      <c r="AB36">
        <v>150</v>
      </c>
      <c r="AC36">
        <v>50</v>
      </c>
      <c r="AD36">
        <v>25</v>
      </c>
      <c r="AE36">
        <v>0</v>
      </c>
      <c r="AF36">
        <v>10</v>
      </c>
    </row>
    <row r="37" spans="1:32" x14ac:dyDescent="0.3">
      <c r="A37" s="41" t="s">
        <v>222</v>
      </c>
      <c r="B37" t="s">
        <v>21</v>
      </c>
      <c r="C37" t="s">
        <v>29</v>
      </c>
      <c r="D37" s="43" t="s">
        <v>223</v>
      </c>
      <c r="E37" s="10" t="s">
        <v>224</v>
      </c>
      <c r="F37" t="s">
        <v>211</v>
      </c>
      <c r="G37" t="s">
        <v>192</v>
      </c>
      <c r="H37">
        <v>235</v>
      </c>
      <c r="I37">
        <v>95</v>
      </c>
      <c r="J37">
        <v>45</v>
      </c>
      <c r="K37">
        <v>0</v>
      </c>
      <c r="L37">
        <v>14</v>
      </c>
      <c r="X37" s="41" t="s">
        <v>222</v>
      </c>
      <c r="Y37" s="20" t="s">
        <v>509</v>
      </c>
      <c r="Z37" s="20" t="s">
        <v>21</v>
      </c>
      <c r="AA37" s="20" t="s">
        <v>227</v>
      </c>
      <c r="AB37" s="20">
        <v>150</v>
      </c>
      <c r="AC37">
        <v>50</v>
      </c>
      <c r="AD37">
        <v>0</v>
      </c>
      <c r="AE37">
        <v>0</v>
      </c>
      <c r="AF37">
        <v>10</v>
      </c>
    </row>
    <row r="38" spans="1:32" x14ac:dyDescent="0.3">
      <c r="A38" s="41" t="s">
        <v>222</v>
      </c>
      <c r="B38" t="s">
        <v>21</v>
      </c>
      <c r="C38" t="s">
        <v>29</v>
      </c>
      <c r="D38" s="43" t="s">
        <v>223</v>
      </c>
      <c r="E38" s="10" t="s">
        <v>224</v>
      </c>
      <c r="F38" t="s">
        <v>211</v>
      </c>
      <c r="G38" t="s">
        <v>225</v>
      </c>
      <c r="H38">
        <v>33</v>
      </c>
      <c r="I38">
        <v>10</v>
      </c>
      <c r="J38">
        <v>0</v>
      </c>
      <c r="K38">
        <v>0</v>
      </c>
      <c r="L38">
        <v>1</v>
      </c>
      <c r="X38" s="41" t="s">
        <v>222</v>
      </c>
      <c r="Y38" s="20" t="s">
        <v>509</v>
      </c>
      <c r="Z38" s="20" t="s">
        <v>21</v>
      </c>
      <c r="AA38" s="20" t="s">
        <v>228</v>
      </c>
      <c r="AB38" s="20">
        <v>25</v>
      </c>
      <c r="AC38">
        <v>10</v>
      </c>
      <c r="AD38">
        <v>5</v>
      </c>
      <c r="AE38">
        <v>0</v>
      </c>
      <c r="AF38">
        <v>0</v>
      </c>
    </row>
    <row r="39" spans="1:32" x14ac:dyDescent="0.3">
      <c r="A39" s="41" t="s">
        <v>222</v>
      </c>
      <c r="B39" t="s">
        <v>21</v>
      </c>
      <c r="C39" t="s">
        <v>29</v>
      </c>
      <c r="D39" s="43" t="s">
        <v>223</v>
      </c>
      <c r="E39" s="10" t="s">
        <v>224</v>
      </c>
      <c r="F39" t="s">
        <v>211</v>
      </c>
      <c r="G39" t="s">
        <v>26</v>
      </c>
      <c r="H39">
        <v>45</v>
      </c>
      <c r="I39">
        <v>15</v>
      </c>
      <c r="J39">
        <v>4</v>
      </c>
      <c r="K39">
        <v>0</v>
      </c>
      <c r="L39">
        <v>0</v>
      </c>
      <c r="X39" s="41" t="s">
        <v>325</v>
      </c>
      <c r="Y39" s="20" t="s">
        <v>509</v>
      </c>
      <c r="Z39" s="20" t="s">
        <v>21</v>
      </c>
      <c r="AA39" s="20" t="s">
        <v>329</v>
      </c>
      <c r="AB39" s="20">
        <v>30</v>
      </c>
      <c r="AC39">
        <v>15</v>
      </c>
      <c r="AD39">
        <v>4</v>
      </c>
      <c r="AE39">
        <v>0</v>
      </c>
      <c r="AF39">
        <v>0</v>
      </c>
    </row>
    <row r="40" spans="1:32" x14ac:dyDescent="0.3">
      <c r="A40" s="41" t="s">
        <v>222</v>
      </c>
      <c r="B40" t="s">
        <v>21</v>
      </c>
      <c r="C40" t="s">
        <v>29</v>
      </c>
      <c r="D40" s="43" t="s">
        <v>223</v>
      </c>
      <c r="E40" s="10" t="s">
        <v>224</v>
      </c>
      <c r="F40" t="s">
        <v>211</v>
      </c>
      <c r="G40" t="s">
        <v>226</v>
      </c>
      <c r="H40">
        <v>150</v>
      </c>
      <c r="I40">
        <v>50</v>
      </c>
      <c r="J40">
        <v>25</v>
      </c>
      <c r="K40">
        <v>0</v>
      </c>
      <c r="L40">
        <v>10</v>
      </c>
      <c r="AA40" s="21" t="s">
        <v>511</v>
      </c>
      <c r="AB40" s="20">
        <f>SUBTOTAL(9,AB2:AB39)</f>
        <v>1205</v>
      </c>
    </row>
    <row r="41" spans="1:32" x14ac:dyDescent="0.3">
      <c r="A41" s="41" t="s">
        <v>222</v>
      </c>
      <c r="B41" t="s">
        <v>21</v>
      </c>
      <c r="C41" t="s">
        <v>29</v>
      </c>
      <c r="D41" s="43" t="s">
        <v>223</v>
      </c>
      <c r="E41" s="10" t="s">
        <v>224</v>
      </c>
      <c r="F41" t="s">
        <v>211</v>
      </c>
      <c r="G41" t="s">
        <v>227</v>
      </c>
      <c r="H41">
        <v>150</v>
      </c>
      <c r="I41">
        <v>50</v>
      </c>
      <c r="J41">
        <v>0</v>
      </c>
      <c r="K41">
        <v>0</v>
      </c>
      <c r="L41">
        <v>10</v>
      </c>
    </row>
    <row r="42" spans="1:32" x14ac:dyDescent="0.3">
      <c r="A42" s="41" t="s">
        <v>222</v>
      </c>
      <c r="B42" t="s">
        <v>21</v>
      </c>
      <c r="C42" t="s">
        <v>29</v>
      </c>
      <c r="D42" s="43" t="s">
        <v>223</v>
      </c>
      <c r="E42" s="10" t="s">
        <v>224</v>
      </c>
      <c r="F42" t="s">
        <v>211</v>
      </c>
      <c r="G42" t="s">
        <v>228</v>
      </c>
      <c r="H42">
        <v>25</v>
      </c>
      <c r="I42">
        <v>10</v>
      </c>
      <c r="J42">
        <v>5</v>
      </c>
      <c r="K42">
        <v>0</v>
      </c>
      <c r="L42">
        <v>0</v>
      </c>
    </row>
    <row r="43" spans="1:32" x14ac:dyDescent="0.3">
      <c r="A43" s="41" t="s">
        <v>325</v>
      </c>
      <c r="B43" t="s">
        <v>21</v>
      </c>
      <c r="C43" t="s">
        <v>29</v>
      </c>
      <c r="D43" s="43" t="s">
        <v>326</v>
      </c>
      <c r="F43" t="s">
        <v>328</v>
      </c>
      <c r="G43" t="s">
        <v>329</v>
      </c>
      <c r="H43">
        <v>30</v>
      </c>
      <c r="I43">
        <v>15</v>
      </c>
      <c r="J43">
        <v>4</v>
      </c>
      <c r="K43">
        <v>0</v>
      </c>
      <c r="L43">
        <v>0</v>
      </c>
    </row>
    <row r="44" spans="1:32" x14ac:dyDescent="0.3">
      <c r="A44" s="23" t="s">
        <v>107</v>
      </c>
      <c r="B44" t="s">
        <v>21</v>
      </c>
      <c r="C44" t="s">
        <v>22</v>
      </c>
      <c r="D44" t="s">
        <v>108</v>
      </c>
      <c r="E44" t="s">
        <v>109</v>
      </c>
      <c r="F44" t="s">
        <v>110</v>
      </c>
      <c r="G44" t="s">
        <v>111</v>
      </c>
      <c r="H44">
        <v>0</v>
      </c>
      <c r="I44">
        <v>55</v>
      </c>
      <c r="J44">
        <v>23</v>
      </c>
      <c r="K44">
        <v>0</v>
      </c>
      <c r="L44">
        <v>0</v>
      </c>
      <c r="O44">
        <v>17</v>
      </c>
      <c r="R44">
        <v>11</v>
      </c>
      <c r="S44" s="1"/>
    </row>
    <row r="45" spans="1:32" x14ac:dyDescent="0.3">
      <c r="A45" s="7" t="s">
        <v>180</v>
      </c>
      <c r="B45" t="s">
        <v>21</v>
      </c>
      <c r="C45" t="s">
        <v>22</v>
      </c>
      <c r="D45" s="18" t="s">
        <v>181</v>
      </c>
      <c r="E45" s="10" t="s">
        <v>182</v>
      </c>
      <c r="F45" t="s">
        <v>92</v>
      </c>
      <c r="H45">
        <v>0</v>
      </c>
    </row>
    <row r="46" spans="1:32" x14ac:dyDescent="0.3">
      <c r="A46" s="7" t="s">
        <v>303</v>
      </c>
      <c r="B46" t="s">
        <v>21</v>
      </c>
      <c r="C46" t="s">
        <v>29</v>
      </c>
      <c r="D46" t="s">
        <v>304</v>
      </c>
      <c r="E46" t="s">
        <v>305</v>
      </c>
      <c r="F46" t="s">
        <v>306</v>
      </c>
      <c r="G46" t="s">
        <v>307</v>
      </c>
      <c r="H46">
        <v>0</v>
      </c>
      <c r="I46">
        <v>12</v>
      </c>
      <c r="J46">
        <v>6</v>
      </c>
      <c r="K46">
        <v>0</v>
      </c>
      <c r="L46">
        <v>4</v>
      </c>
      <c r="M46">
        <v>10</v>
      </c>
      <c r="O46">
        <v>12</v>
      </c>
      <c r="P46">
        <v>7</v>
      </c>
      <c r="Q46">
        <v>11.5</v>
      </c>
      <c r="R46">
        <v>7</v>
      </c>
      <c r="S46" s="1"/>
    </row>
    <row r="47" spans="1:32" x14ac:dyDescent="0.3">
      <c r="A47" s="7" t="s">
        <v>340</v>
      </c>
      <c r="B47" t="s">
        <v>21</v>
      </c>
      <c r="C47" t="s">
        <v>29</v>
      </c>
      <c r="D47" s="18" t="s">
        <v>341</v>
      </c>
      <c r="E47" s="10"/>
      <c r="F47" t="s">
        <v>25</v>
      </c>
      <c r="H47">
        <v>0</v>
      </c>
    </row>
    <row r="48" spans="1:32" x14ac:dyDescent="0.3">
      <c r="A48" s="7" t="s">
        <v>349</v>
      </c>
      <c r="B48" t="s">
        <v>21</v>
      </c>
      <c r="C48" t="s">
        <v>29</v>
      </c>
      <c r="D48" t="s">
        <v>350</v>
      </c>
      <c r="E48" t="s">
        <v>351</v>
      </c>
      <c r="F48" t="s">
        <v>92</v>
      </c>
      <c r="G48" t="s">
        <v>352</v>
      </c>
      <c r="H48">
        <v>0</v>
      </c>
      <c r="I48">
        <v>10</v>
      </c>
      <c r="J48">
        <v>4</v>
      </c>
      <c r="K48">
        <v>0</v>
      </c>
      <c r="L48">
        <v>0</v>
      </c>
      <c r="O48">
        <v>13</v>
      </c>
      <c r="R48">
        <v>8</v>
      </c>
      <c r="S48" s="1"/>
    </row>
    <row r="49" spans="1:19" x14ac:dyDescent="0.3">
      <c r="A49" s="7" t="s">
        <v>349</v>
      </c>
      <c r="B49" t="s">
        <v>21</v>
      </c>
      <c r="C49" t="s">
        <v>29</v>
      </c>
      <c r="D49" t="s">
        <v>350</v>
      </c>
      <c r="E49" t="s">
        <v>351</v>
      </c>
      <c r="F49" t="s">
        <v>92</v>
      </c>
      <c r="G49" t="s">
        <v>254</v>
      </c>
      <c r="H49">
        <v>0</v>
      </c>
      <c r="I49">
        <v>6</v>
      </c>
      <c r="J49">
        <v>0</v>
      </c>
      <c r="K49">
        <v>0</v>
      </c>
      <c r="L49">
        <v>0</v>
      </c>
      <c r="O49">
        <v>19</v>
      </c>
      <c r="R49">
        <v>14</v>
      </c>
      <c r="S49" s="1"/>
    </row>
    <row r="50" spans="1:19" x14ac:dyDescent="0.3">
      <c r="A50" s="7" t="s">
        <v>349</v>
      </c>
      <c r="B50" t="s">
        <v>21</v>
      </c>
      <c r="C50" t="s">
        <v>29</v>
      </c>
      <c r="D50" t="s">
        <v>350</v>
      </c>
      <c r="E50" t="s">
        <v>351</v>
      </c>
      <c r="F50" t="s">
        <v>92</v>
      </c>
      <c r="G50" t="s">
        <v>353</v>
      </c>
      <c r="H50">
        <v>0</v>
      </c>
      <c r="I50">
        <v>8</v>
      </c>
      <c r="J50">
        <v>3</v>
      </c>
      <c r="K50">
        <v>0</v>
      </c>
      <c r="L50">
        <v>0</v>
      </c>
      <c r="O50">
        <v>21</v>
      </c>
      <c r="R50">
        <v>16</v>
      </c>
      <c r="S50" s="1"/>
    </row>
    <row r="51" spans="1:19" x14ac:dyDescent="0.3">
      <c r="A51" s="7" t="s">
        <v>349</v>
      </c>
      <c r="B51" t="s">
        <v>21</v>
      </c>
      <c r="C51" t="s">
        <v>29</v>
      </c>
      <c r="D51" t="s">
        <v>350</v>
      </c>
      <c r="E51" t="s">
        <v>351</v>
      </c>
      <c r="F51" t="s">
        <v>92</v>
      </c>
      <c r="G51" t="s">
        <v>354</v>
      </c>
      <c r="H51">
        <v>0</v>
      </c>
      <c r="I51">
        <v>7</v>
      </c>
      <c r="J51">
        <v>3</v>
      </c>
      <c r="K51">
        <v>0</v>
      </c>
      <c r="L51">
        <v>0</v>
      </c>
      <c r="O51">
        <v>29</v>
      </c>
      <c r="R51">
        <v>20</v>
      </c>
      <c r="S51" s="1"/>
    </row>
    <row r="52" spans="1:19" x14ac:dyDescent="0.3">
      <c r="A52" s="7" t="s">
        <v>349</v>
      </c>
      <c r="B52" t="s">
        <v>21</v>
      </c>
      <c r="C52" t="s">
        <v>29</v>
      </c>
      <c r="D52" t="s">
        <v>350</v>
      </c>
      <c r="E52" t="s">
        <v>351</v>
      </c>
      <c r="F52" t="s">
        <v>92</v>
      </c>
      <c r="G52" t="s">
        <v>86</v>
      </c>
      <c r="H52">
        <v>0</v>
      </c>
      <c r="I52">
        <v>10</v>
      </c>
      <c r="J52">
        <v>2</v>
      </c>
      <c r="K52">
        <v>0</v>
      </c>
      <c r="L52">
        <v>0</v>
      </c>
      <c r="O52">
        <v>33</v>
      </c>
      <c r="R52">
        <v>24</v>
      </c>
      <c r="S52" s="1"/>
    </row>
    <row r="53" spans="1:19" x14ac:dyDescent="0.3">
      <c r="A53" s="7" t="s">
        <v>512</v>
      </c>
      <c r="D53" s="10"/>
      <c r="H53">
        <v>0</v>
      </c>
    </row>
    <row r="54" spans="1:19" x14ac:dyDescent="0.3">
      <c r="A54" s="23" t="s">
        <v>401</v>
      </c>
      <c r="B54" t="s">
        <v>21</v>
      </c>
      <c r="C54" t="s">
        <v>22</v>
      </c>
      <c r="D54" t="s">
        <v>402</v>
      </c>
      <c r="E54" t="s">
        <v>403</v>
      </c>
      <c r="F54" t="s">
        <v>266</v>
      </c>
      <c r="G54" t="s">
        <v>268</v>
      </c>
      <c r="H54">
        <v>0</v>
      </c>
      <c r="I54">
        <v>8</v>
      </c>
      <c r="J54">
        <v>4</v>
      </c>
      <c r="K54">
        <v>5</v>
      </c>
      <c r="L54">
        <v>0</v>
      </c>
      <c r="O54">
        <v>10</v>
      </c>
      <c r="R54">
        <v>4</v>
      </c>
      <c r="S54" s="1"/>
    </row>
    <row r="55" spans="1:19" x14ac:dyDescent="0.3">
      <c r="A55" s="40" t="s">
        <v>404</v>
      </c>
      <c r="F55" t="s">
        <v>266</v>
      </c>
      <c r="H55">
        <v>0</v>
      </c>
      <c r="S55" s="1"/>
    </row>
    <row r="56" spans="1:19" x14ac:dyDescent="0.3">
      <c r="A56" s="7" t="s">
        <v>405</v>
      </c>
      <c r="B56" t="s">
        <v>21</v>
      </c>
      <c r="D56" t="s">
        <v>406</v>
      </c>
      <c r="E56" t="s">
        <v>407</v>
      </c>
      <c r="F56" t="s">
        <v>408</v>
      </c>
      <c r="G56" t="s">
        <v>409</v>
      </c>
      <c r="H56">
        <v>0</v>
      </c>
      <c r="I56">
        <v>10</v>
      </c>
      <c r="J56">
        <v>5</v>
      </c>
      <c r="K56">
        <v>0</v>
      </c>
      <c r="L56">
        <v>0</v>
      </c>
      <c r="O56">
        <v>10</v>
      </c>
      <c r="R56">
        <v>0</v>
      </c>
      <c r="S56" s="1"/>
    </row>
    <row r="57" spans="1:19" x14ac:dyDescent="0.3">
      <c r="A57" s="7" t="s">
        <v>405</v>
      </c>
      <c r="B57" t="s">
        <v>21</v>
      </c>
      <c r="D57" t="s">
        <v>406</v>
      </c>
      <c r="E57" t="s">
        <v>407</v>
      </c>
      <c r="F57" t="s">
        <v>408</v>
      </c>
      <c r="G57" t="s">
        <v>410</v>
      </c>
      <c r="H57">
        <v>0</v>
      </c>
      <c r="I57">
        <v>10</v>
      </c>
      <c r="J57">
        <v>10</v>
      </c>
      <c r="K57">
        <v>0</v>
      </c>
      <c r="L57">
        <v>0</v>
      </c>
      <c r="O57">
        <v>13</v>
      </c>
      <c r="R57">
        <v>12</v>
      </c>
      <c r="S57" s="1"/>
    </row>
    <row r="58" spans="1:19" x14ac:dyDescent="0.3">
      <c r="A58" s="7" t="s">
        <v>405</v>
      </c>
      <c r="B58" t="s">
        <v>21</v>
      </c>
      <c r="D58" t="s">
        <v>406</v>
      </c>
      <c r="E58" t="s">
        <v>407</v>
      </c>
      <c r="F58" t="s">
        <v>408</v>
      </c>
      <c r="G58" t="s">
        <v>192</v>
      </c>
      <c r="H58">
        <v>0</v>
      </c>
      <c r="I58">
        <v>70</v>
      </c>
      <c r="J58">
        <v>30</v>
      </c>
      <c r="K58">
        <v>0</v>
      </c>
      <c r="L58">
        <v>0</v>
      </c>
      <c r="O58">
        <v>14</v>
      </c>
      <c r="R58">
        <v>8</v>
      </c>
      <c r="S58" s="1"/>
    </row>
    <row r="59" spans="1:19" x14ac:dyDescent="0.3">
      <c r="A59" s="7" t="s">
        <v>405</v>
      </c>
      <c r="B59" t="s">
        <v>21</v>
      </c>
      <c r="D59" t="s">
        <v>406</v>
      </c>
      <c r="E59" t="s">
        <v>407</v>
      </c>
      <c r="F59" t="s">
        <v>408</v>
      </c>
      <c r="G59" t="s">
        <v>411</v>
      </c>
      <c r="H59">
        <v>0</v>
      </c>
      <c r="I59">
        <v>30</v>
      </c>
      <c r="J59">
        <v>20</v>
      </c>
      <c r="K59">
        <v>0</v>
      </c>
      <c r="L59">
        <v>0</v>
      </c>
      <c r="O59">
        <v>14</v>
      </c>
      <c r="R59">
        <v>10</v>
      </c>
      <c r="S59" s="1"/>
    </row>
    <row r="60" spans="1:19" x14ac:dyDescent="0.3">
      <c r="A60" s="7" t="s">
        <v>405</v>
      </c>
      <c r="B60" t="s">
        <v>21</v>
      </c>
      <c r="D60" t="s">
        <v>406</v>
      </c>
      <c r="E60" t="s">
        <v>407</v>
      </c>
      <c r="F60" t="s">
        <v>408</v>
      </c>
      <c r="G60" t="s">
        <v>321</v>
      </c>
      <c r="H60">
        <v>0</v>
      </c>
      <c r="I60">
        <v>20</v>
      </c>
      <c r="J60">
        <v>20</v>
      </c>
      <c r="K60">
        <v>0</v>
      </c>
      <c r="L60">
        <v>0</v>
      </c>
      <c r="O60">
        <v>16</v>
      </c>
      <c r="R60">
        <v>8</v>
      </c>
      <c r="S60" s="1"/>
    </row>
    <row r="61" spans="1:19" x14ac:dyDescent="0.3">
      <c r="A61" s="7" t="s">
        <v>405</v>
      </c>
      <c r="B61" t="s">
        <v>21</v>
      </c>
      <c r="D61" t="s">
        <v>406</v>
      </c>
      <c r="E61" t="s">
        <v>407</v>
      </c>
      <c r="F61" t="s">
        <v>408</v>
      </c>
      <c r="G61" t="s">
        <v>412</v>
      </c>
      <c r="H61">
        <v>0</v>
      </c>
      <c r="I61">
        <v>8</v>
      </c>
      <c r="J61">
        <v>2</v>
      </c>
      <c r="K61">
        <v>0</v>
      </c>
      <c r="L61">
        <v>0</v>
      </c>
      <c r="O61">
        <v>17</v>
      </c>
      <c r="R61">
        <v>16</v>
      </c>
      <c r="S61" s="1"/>
    </row>
    <row r="62" spans="1:19" x14ac:dyDescent="0.3">
      <c r="A62" s="7" t="s">
        <v>435</v>
      </c>
      <c r="B62" t="s">
        <v>28</v>
      </c>
      <c r="C62" t="s">
        <v>29</v>
      </c>
      <c r="D62" s="18" t="s">
        <v>436</v>
      </c>
      <c r="E62" s="10" t="s">
        <v>437</v>
      </c>
      <c r="F62" t="s">
        <v>32</v>
      </c>
      <c r="G62" t="s">
        <v>438</v>
      </c>
      <c r="H62">
        <v>0</v>
      </c>
      <c r="I62">
        <v>6</v>
      </c>
      <c r="J62">
        <v>3</v>
      </c>
      <c r="K62">
        <v>0</v>
      </c>
      <c r="L62">
        <v>2</v>
      </c>
      <c r="M62">
        <v>8</v>
      </c>
    </row>
    <row r="63" spans="1:19" x14ac:dyDescent="0.3">
      <c r="A63" s="7" t="s">
        <v>471</v>
      </c>
      <c r="B63" t="s">
        <v>28</v>
      </c>
      <c r="C63" t="s">
        <v>22</v>
      </c>
      <c r="E63" t="s">
        <v>472</v>
      </c>
      <c r="F63" t="s">
        <v>473</v>
      </c>
      <c r="H63">
        <v>0</v>
      </c>
      <c r="S63" s="1"/>
    </row>
    <row r="64" spans="1:19" x14ac:dyDescent="0.3">
      <c r="A64" s="7" t="s">
        <v>488</v>
      </c>
      <c r="B64" t="s">
        <v>28</v>
      </c>
      <c r="C64" t="s">
        <v>29</v>
      </c>
      <c r="D64" t="s">
        <v>489</v>
      </c>
      <c r="E64" t="s">
        <v>490</v>
      </c>
      <c r="F64" t="s">
        <v>155</v>
      </c>
      <c r="G64" t="s">
        <v>491</v>
      </c>
      <c r="H64">
        <v>0</v>
      </c>
      <c r="I64">
        <v>3</v>
      </c>
      <c r="J64">
        <v>1</v>
      </c>
      <c r="K64">
        <v>0</v>
      </c>
      <c r="L64">
        <v>1</v>
      </c>
      <c r="M64">
        <v>4</v>
      </c>
      <c r="O64">
        <v>9</v>
      </c>
      <c r="R64">
        <v>19</v>
      </c>
      <c r="S64" s="1"/>
    </row>
    <row r="65" spans="1:19" x14ac:dyDescent="0.3">
      <c r="A65" s="7" t="s">
        <v>488</v>
      </c>
      <c r="B65" t="s">
        <v>28</v>
      </c>
      <c r="C65" t="s">
        <v>29</v>
      </c>
      <c r="D65" t="s">
        <v>489</v>
      </c>
      <c r="E65" t="s">
        <v>490</v>
      </c>
      <c r="F65" t="s">
        <v>155</v>
      </c>
      <c r="G65" t="s">
        <v>492</v>
      </c>
      <c r="H65">
        <v>0</v>
      </c>
      <c r="I65">
        <v>3</v>
      </c>
      <c r="J65">
        <v>1</v>
      </c>
      <c r="K65">
        <v>0</v>
      </c>
      <c r="L65">
        <v>1</v>
      </c>
      <c r="M65">
        <v>6</v>
      </c>
      <c r="O65">
        <v>9</v>
      </c>
      <c r="R65">
        <v>19</v>
      </c>
      <c r="S65" s="1"/>
    </row>
    <row r="66" spans="1:19" x14ac:dyDescent="0.3">
      <c r="A66" s="7" t="s">
        <v>497</v>
      </c>
      <c r="B66" t="s">
        <v>21</v>
      </c>
      <c r="C66" t="s">
        <v>29</v>
      </c>
      <c r="D66" t="s">
        <v>498</v>
      </c>
      <c r="E66" t="s">
        <v>221</v>
      </c>
      <c r="F66" t="s">
        <v>142</v>
      </c>
      <c r="G66" t="s">
        <v>499</v>
      </c>
      <c r="H66">
        <v>0</v>
      </c>
      <c r="I66">
        <v>0</v>
      </c>
      <c r="J66">
        <v>0</v>
      </c>
      <c r="K66">
        <v>0</v>
      </c>
      <c r="L66">
        <v>0</v>
      </c>
      <c r="O66">
        <v>6</v>
      </c>
      <c r="R66">
        <v>14</v>
      </c>
      <c r="S66" s="1"/>
    </row>
    <row r="67" spans="1:19" x14ac:dyDescent="0.3">
      <c r="H67">
        <f>SUBTOTAL(9,H2:H66)</f>
        <v>1380</v>
      </c>
    </row>
  </sheetData>
  <autoFilter ref="A1:S1048460" xr:uid="{10CBB34A-953F-49AF-8906-98C664DF3AB2}">
    <filterColumn colId="1">
      <filters blank="1">
        <filter val="Non-Union"/>
        <filter val="Union"/>
      </filters>
    </filterColumn>
  </autoFilter>
  <hyperlinks>
    <hyperlink ref="D2" r:id="rId1" xr:uid="{396E7834-B0F4-4E4E-A99D-E80DE287EDB7}"/>
    <hyperlink ref="D18" r:id="rId2" xr:uid="{2C925FE3-3219-4E9C-95A1-59DB3CC09DBC}"/>
    <hyperlink ref="D28" r:id="rId3" xr:uid="{E8559EAD-AAE8-4BF9-A656-028E515AD608}"/>
    <hyperlink ref="D43" r:id="rId4" xr:uid="{96ACAFFF-86C3-4B57-85EF-3AC2FC11AC66}"/>
    <hyperlink ref="D45" r:id="rId5" xr:uid="{BD5D7133-436A-44F4-835A-6C50DB0C01F2}"/>
    <hyperlink ref="D47" r:id="rId6" xr:uid="{8C4C529B-F277-44E5-A7A1-62B2C75264F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8764-C363-4A0C-8DCE-C03AFF2A3232}">
  <dimension ref="A1:S139"/>
  <sheetViews>
    <sheetView workbookViewId="0">
      <pane ySplit="1" topLeftCell="A125" activePane="bottomLeft" state="frozen"/>
      <selection activeCell="A68" sqref="A68"/>
      <selection pane="bottomLeft" activeCell="A68" sqref="A68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3.6640625" bestFit="1" customWidth="1"/>
    <col min="6" max="6" width="18.5546875" bestFit="1" customWidth="1"/>
    <col min="7" max="7" width="16.33203125" bestFit="1" customWidth="1"/>
    <col min="13" max="13" width="24.6640625" bestFit="1" customWidth="1"/>
    <col min="14" max="14" width="21.5546875" bestFit="1" customWidth="1"/>
    <col min="15" max="15" width="28.88671875" bestFit="1" customWidth="1"/>
    <col min="16" max="16" width="26.6640625" bestFit="1" customWidth="1"/>
    <col min="17" max="17" width="31" bestFit="1" customWidth="1"/>
    <col min="18" max="18" width="30.33203125" bestFit="1" customWidth="1"/>
    <col min="19" max="19" width="26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3">
      <c r="A2" t="s">
        <v>27</v>
      </c>
      <c r="B2" t="s">
        <v>28</v>
      </c>
      <c r="C2" t="s">
        <v>29</v>
      </c>
      <c r="D2" s="18" t="s">
        <v>30</v>
      </c>
      <c r="E2" s="10" t="s">
        <v>31</v>
      </c>
      <c r="F2" t="s">
        <v>32</v>
      </c>
      <c r="G2" t="s">
        <v>33</v>
      </c>
      <c r="H2">
        <v>13</v>
      </c>
      <c r="I2">
        <v>6</v>
      </c>
      <c r="J2">
        <v>3</v>
      </c>
      <c r="K2">
        <v>0</v>
      </c>
      <c r="L2">
        <v>1</v>
      </c>
      <c r="M2" s="3">
        <v>10</v>
      </c>
    </row>
    <row r="3" spans="1:19" x14ac:dyDescent="0.3">
      <c r="A3" t="s">
        <v>27</v>
      </c>
      <c r="B3" t="s">
        <v>28</v>
      </c>
      <c r="C3" t="s">
        <v>29</v>
      </c>
      <c r="D3" s="18" t="s">
        <v>30</v>
      </c>
      <c r="E3" s="10" t="s">
        <v>31</v>
      </c>
      <c r="F3" t="s">
        <v>32</v>
      </c>
      <c r="G3" t="s">
        <v>34</v>
      </c>
      <c r="H3">
        <v>13</v>
      </c>
      <c r="I3">
        <v>6</v>
      </c>
      <c r="J3">
        <v>3</v>
      </c>
      <c r="K3">
        <v>0</v>
      </c>
      <c r="L3">
        <v>1</v>
      </c>
      <c r="M3" s="3">
        <v>11</v>
      </c>
    </row>
    <row r="4" spans="1:19" x14ac:dyDescent="0.3">
      <c r="A4" t="s">
        <v>35</v>
      </c>
      <c r="B4" t="s">
        <v>28</v>
      </c>
      <c r="C4" t="s">
        <v>29</v>
      </c>
      <c r="D4" t="s">
        <v>36</v>
      </c>
      <c r="E4" t="s">
        <v>37</v>
      </c>
      <c r="F4" t="s">
        <v>38</v>
      </c>
      <c r="G4" t="s">
        <v>39</v>
      </c>
      <c r="H4">
        <v>10</v>
      </c>
      <c r="I4">
        <v>4</v>
      </c>
      <c r="J4">
        <v>2</v>
      </c>
      <c r="K4">
        <v>0</v>
      </c>
      <c r="L4">
        <v>2</v>
      </c>
      <c r="O4">
        <v>15</v>
      </c>
      <c r="R4">
        <v>25</v>
      </c>
      <c r="S4" s="1"/>
    </row>
    <row r="5" spans="1:19" x14ac:dyDescent="0.3">
      <c r="A5" s="2" t="s">
        <v>40</v>
      </c>
      <c r="B5" t="s">
        <v>21</v>
      </c>
      <c r="C5" t="s">
        <v>22</v>
      </c>
      <c r="D5" s="10" t="s">
        <v>41</v>
      </c>
      <c r="E5" s="10" t="s">
        <v>42</v>
      </c>
      <c r="F5" t="s">
        <v>43</v>
      </c>
      <c r="G5" t="s">
        <v>44</v>
      </c>
      <c r="H5">
        <v>80</v>
      </c>
      <c r="I5">
        <v>0</v>
      </c>
      <c r="J5">
        <v>0</v>
      </c>
      <c r="K5">
        <v>0</v>
      </c>
      <c r="L5">
        <v>0</v>
      </c>
      <c r="S5" s="1"/>
    </row>
    <row r="6" spans="1:19" x14ac:dyDescent="0.3">
      <c r="A6" t="s">
        <v>45</v>
      </c>
      <c r="B6" t="s">
        <v>21</v>
      </c>
      <c r="C6" t="s">
        <v>22</v>
      </c>
      <c r="D6" s="10" t="s">
        <v>41</v>
      </c>
      <c r="E6" s="10" t="s">
        <v>42</v>
      </c>
      <c r="F6" t="s">
        <v>43</v>
      </c>
      <c r="G6" t="s">
        <v>46</v>
      </c>
      <c r="H6">
        <v>55</v>
      </c>
      <c r="I6">
        <v>20</v>
      </c>
      <c r="J6">
        <v>9</v>
      </c>
      <c r="K6">
        <v>0</v>
      </c>
      <c r="L6">
        <v>2</v>
      </c>
      <c r="M6" s="16">
        <v>4</v>
      </c>
      <c r="S6" s="1"/>
    </row>
    <row r="7" spans="1:19" x14ac:dyDescent="0.3">
      <c r="A7" t="s">
        <v>47</v>
      </c>
      <c r="B7" t="s">
        <v>21</v>
      </c>
      <c r="C7" t="s">
        <v>22</v>
      </c>
      <c r="D7" t="s">
        <v>48</v>
      </c>
      <c r="E7" t="s">
        <v>49</v>
      </c>
      <c r="F7" t="s">
        <v>50</v>
      </c>
      <c r="G7" t="s">
        <v>51</v>
      </c>
      <c r="H7">
        <v>30</v>
      </c>
      <c r="I7">
        <v>7</v>
      </c>
      <c r="J7">
        <v>2</v>
      </c>
      <c r="K7">
        <v>5</v>
      </c>
      <c r="L7">
        <v>2</v>
      </c>
      <c r="O7">
        <v>18</v>
      </c>
      <c r="R7">
        <v>14</v>
      </c>
      <c r="S7" s="1"/>
    </row>
    <row r="8" spans="1:19" x14ac:dyDescent="0.3">
      <c r="A8" t="s">
        <v>52</v>
      </c>
      <c r="B8" t="s">
        <v>53</v>
      </c>
      <c r="C8" t="s">
        <v>29</v>
      </c>
      <c r="D8" s="10" t="s">
        <v>54</v>
      </c>
      <c r="F8" t="s">
        <v>56</v>
      </c>
      <c r="G8" t="s">
        <v>513</v>
      </c>
      <c r="H8">
        <v>17</v>
      </c>
      <c r="I8">
        <v>0</v>
      </c>
      <c r="J8">
        <v>0</v>
      </c>
      <c r="K8">
        <v>0</v>
      </c>
      <c r="L8">
        <v>0</v>
      </c>
    </row>
    <row r="9" spans="1:19" x14ac:dyDescent="0.3">
      <c r="A9" t="s">
        <v>58</v>
      </c>
      <c r="B9" t="s">
        <v>21</v>
      </c>
      <c r="C9" t="s">
        <v>29</v>
      </c>
      <c r="D9" s="18" t="s">
        <v>59</v>
      </c>
      <c r="E9" s="10" t="s">
        <v>60</v>
      </c>
      <c r="F9" t="s">
        <v>25</v>
      </c>
      <c r="G9" t="s">
        <v>61</v>
      </c>
      <c r="H9">
        <v>30</v>
      </c>
      <c r="I9">
        <v>15</v>
      </c>
      <c r="J9">
        <v>5</v>
      </c>
      <c r="K9">
        <v>0</v>
      </c>
      <c r="L9">
        <v>0</v>
      </c>
      <c r="M9" s="16">
        <v>6</v>
      </c>
      <c r="N9" s="3">
        <v>10</v>
      </c>
      <c r="S9" s="1"/>
    </row>
    <row r="10" spans="1:19" x14ac:dyDescent="0.3">
      <c r="A10" s="10" t="s">
        <v>62</v>
      </c>
      <c r="B10" t="s">
        <v>21</v>
      </c>
      <c r="C10" t="s">
        <v>22</v>
      </c>
      <c r="D10" s="18" t="s">
        <v>63</v>
      </c>
      <c r="E10" s="10" t="s">
        <v>64</v>
      </c>
      <c r="F10" t="s">
        <v>65</v>
      </c>
      <c r="G10" t="s">
        <v>514</v>
      </c>
      <c r="H10">
        <v>25</v>
      </c>
      <c r="I10">
        <v>8</v>
      </c>
      <c r="J10">
        <v>3</v>
      </c>
      <c r="K10">
        <v>0</v>
      </c>
      <c r="L10">
        <v>2</v>
      </c>
      <c r="N10" s="16">
        <v>6</v>
      </c>
    </row>
    <row r="11" spans="1:19" x14ac:dyDescent="0.3">
      <c r="A11" t="s">
        <v>67</v>
      </c>
      <c r="B11" t="s">
        <v>21</v>
      </c>
      <c r="C11" t="s">
        <v>22</v>
      </c>
      <c r="D11" s="18" t="s">
        <v>68</v>
      </c>
      <c r="E11" s="10" t="s">
        <v>69</v>
      </c>
    </row>
    <row r="12" spans="1:19" x14ac:dyDescent="0.3">
      <c r="A12" t="s">
        <v>70</v>
      </c>
      <c r="B12" t="s">
        <v>53</v>
      </c>
      <c r="C12" t="s">
        <v>29</v>
      </c>
      <c r="D12" t="s">
        <v>71</v>
      </c>
      <c r="E12" t="s">
        <v>72</v>
      </c>
      <c r="F12" t="s">
        <v>56</v>
      </c>
      <c r="G12" t="s">
        <v>73</v>
      </c>
      <c r="H12">
        <v>15</v>
      </c>
      <c r="I12">
        <v>0</v>
      </c>
      <c r="J12">
        <v>0</v>
      </c>
      <c r="K12">
        <v>0</v>
      </c>
      <c r="L12">
        <v>0</v>
      </c>
      <c r="O12">
        <v>20</v>
      </c>
      <c r="R12">
        <v>15</v>
      </c>
      <c r="S12" s="1"/>
    </row>
    <row r="13" spans="1:19" x14ac:dyDescent="0.3">
      <c r="A13" t="s">
        <v>83</v>
      </c>
      <c r="B13" t="s">
        <v>21</v>
      </c>
      <c r="C13" t="s">
        <v>22</v>
      </c>
      <c r="D13" s="18" t="s">
        <v>84</v>
      </c>
      <c r="E13" s="10" t="s">
        <v>85</v>
      </c>
      <c r="F13" t="s">
        <v>25</v>
      </c>
      <c r="G13" t="s">
        <v>86</v>
      </c>
      <c r="H13">
        <v>32</v>
      </c>
      <c r="I13">
        <v>10</v>
      </c>
      <c r="J13">
        <v>5</v>
      </c>
      <c r="K13">
        <v>0</v>
      </c>
      <c r="L13">
        <v>0</v>
      </c>
      <c r="M13" s="16">
        <v>2</v>
      </c>
      <c r="S13" s="1"/>
    </row>
    <row r="14" spans="1:19" x14ac:dyDescent="0.3">
      <c r="A14" t="s">
        <v>87</v>
      </c>
      <c r="B14" t="s">
        <v>21</v>
      </c>
      <c r="C14" t="s">
        <v>22</v>
      </c>
      <c r="D14" s="18" t="s">
        <v>84</v>
      </c>
      <c r="E14" s="10" t="s">
        <v>85</v>
      </c>
      <c r="F14" t="s">
        <v>25</v>
      </c>
      <c r="G14" t="s">
        <v>88</v>
      </c>
      <c r="H14">
        <v>32</v>
      </c>
      <c r="I14">
        <v>10</v>
      </c>
      <c r="J14">
        <v>5</v>
      </c>
      <c r="K14">
        <v>0</v>
      </c>
      <c r="L14">
        <v>1</v>
      </c>
      <c r="M14" s="3">
        <v>7</v>
      </c>
      <c r="S14" s="1"/>
    </row>
    <row r="15" spans="1:19" x14ac:dyDescent="0.3">
      <c r="A15" t="s">
        <v>95</v>
      </c>
      <c r="B15" t="s">
        <v>21</v>
      </c>
      <c r="C15" t="s">
        <v>22</v>
      </c>
      <c r="D15" s="18" t="s">
        <v>96</v>
      </c>
      <c r="E15" s="10" t="s">
        <v>97</v>
      </c>
      <c r="F15" t="s">
        <v>25</v>
      </c>
      <c r="G15" t="s">
        <v>98</v>
      </c>
      <c r="H15">
        <v>16</v>
      </c>
      <c r="I15">
        <v>4</v>
      </c>
      <c r="J15">
        <v>2</v>
      </c>
      <c r="K15">
        <v>3</v>
      </c>
      <c r="L15">
        <v>1</v>
      </c>
      <c r="N15" s="3">
        <v>11</v>
      </c>
      <c r="S15" s="1"/>
    </row>
    <row r="16" spans="1:19" x14ac:dyDescent="0.3">
      <c r="A16" t="s">
        <v>99</v>
      </c>
      <c r="B16" t="s">
        <v>53</v>
      </c>
      <c r="C16" t="s">
        <v>22</v>
      </c>
      <c r="D16" t="s">
        <v>100</v>
      </c>
      <c r="E16" t="s">
        <v>101</v>
      </c>
      <c r="F16" t="s">
        <v>56</v>
      </c>
      <c r="G16" t="s">
        <v>102</v>
      </c>
      <c r="H16">
        <v>10</v>
      </c>
      <c r="I16">
        <v>0</v>
      </c>
      <c r="J16">
        <v>0</v>
      </c>
      <c r="K16">
        <v>0</v>
      </c>
      <c r="L16">
        <v>0</v>
      </c>
      <c r="O16">
        <v>6</v>
      </c>
      <c r="R16">
        <v>5</v>
      </c>
      <c r="S16" s="1"/>
    </row>
    <row r="17" spans="1:19" x14ac:dyDescent="0.3">
      <c r="A17" t="s">
        <v>103</v>
      </c>
      <c r="B17" t="s">
        <v>28</v>
      </c>
      <c r="C17" t="s">
        <v>22</v>
      </c>
      <c r="D17" s="18" t="s">
        <v>104</v>
      </c>
      <c r="E17" s="10" t="s">
        <v>105</v>
      </c>
      <c r="F17" t="s">
        <v>43</v>
      </c>
      <c r="G17" t="s">
        <v>106</v>
      </c>
      <c r="H17">
        <v>13</v>
      </c>
      <c r="I17">
        <v>4</v>
      </c>
      <c r="J17">
        <v>2</v>
      </c>
      <c r="K17">
        <v>0</v>
      </c>
      <c r="L17">
        <v>1</v>
      </c>
      <c r="M17" s="16">
        <v>6</v>
      </c>
    </row>
    <row r="18" spans="1:19" x14ac:dyDescent="0.3">
      <c r="A18" s="2" t="s">
        <v>107</v>
      </c>
      <c r="B18" t="s">
        <v>21</v>
      </c>
      <c r="C18" t="s">
        <v>22</v>
      </c>
      <c r="D18" t="s">
        <v>108</v>
      </c>
      <c r="E18" t="s">
        <v>109</v>
      </c>
      <c r="F18" t="s">
        <v>110</v>
      </c>
      <c r="G18" t="s">
        <v>111</v>
      </c>
      <c r="H18">
        <v>150</v>
      </c>
      <c r="I18">
        <v>55</v>
      </c>
      <c r="J18">
        <v>23</v>
      </c>
      <c r="K18">
        <v>0</v>
      </c>
      <c r="L18">
        <v>0</v>
      </c>
      <c r="O18">
        <v>17</v>
      </c>
      <c r="R18">
        <v>11</v>
      </c>
      <c r="S18" s="1"/>
    </row>
    <row r="19" spans="1:19" x14ac:dyDescent="0.3">
      <c r="A19" t="s">
        <v>112</v>
      </c>
      <c r="B19" t="s">
        <v>113</v>
      </c>
      <c r="C19" t="s">
        <v>22</v>
      </c>
      <c r="D19" t="s">
        <v>114</v>
      </c>
      <c r="E19" t="s">
        <v>115</v>
      </c>
      <c r="F19" t="s">
        <v>92</v>
      </c>
      <c r="G19" t="s">
        <v>116</v>
      </c>
      <c r="H19">
        <v>100</v>
      </c>
      <c r="I19">
        <v>0</v>
      </c>
      <c r="J19">
        <v>0</v>
      </c>
      <c r="K19">
        <v>0</v>
      </c>
      <c r="L19">
        <v>0</v>
      </c>
      <c r="O19">
        <v>4</v>
      </c>
      <c r="R19">
        <v>14</v>
      </c>
      <c r="S19" s="1"/>
    </row>
    <row r="20" spans="1:19" x14ac:dyDescent="0.3">
      <c r="A20" t="s">
        <v>117</v>
      </c>
      <c r="B20" t="s">
        <v>28</v>
      </c>
      <c r="D20" s="18" t="s">
        <v>118</v>
      </c>
      <c r="E20" s="10" t="s">
        <v>119</v>
      </c>
    </row>
    <row r="21" spans="1:19" x14ac:dyDescent="0.3">
      <c r="A21" t="s">
        <v>120</v>
      </c>
      <c r="B21" t="s">
        <v>28</v>
      </c>
      <c r="C21" t="s">
        <v>22</v>
      </c>
      <c r="D21" s="18" t="s">
        <v>121</v>
      </c>
      <c r="E21" s="10" t="s">
        <v>122</v>
      </c>
      <c r="F21" t="s">
        <v>32</v>
      </c>
      <c r="G21" t="s">
        <v>123</v>
      </c>
      <c r="H21">
        <v>7</v>
      </c>
      <c r="I21">
        <v>2</v>
      </c>
      <c r="J21">
        <v>1</v>
      </c>
      <c r="K21">
        <v>0</v>
      </c>
      <c r="L21">
        <v>0</v>
      </c>
      <c r="M21" s="3">
        <v>11</v>
      </c>
    </row>
    <row r="22" spans="1:19" x14ac:dyDescent="0.3">
      <c r="A22" t="s">
        <v>124</v>
      </c>
      <c r="B22" t="s">
        <v>28</v>
      </c>
      <c r="C22" t="s">
        <v>22</v>
      </c>
      <c r="D22" s="18" t="s">
        <v>121</v>
      </c>
      <c r="E22" s="10" t="s">
        <v>122</v>
      </c>
      <c r="F22" t="s">
        <v>32</v>
      </c>
      <c r="G22" t="s">
        <v>34</v>
      </c>
      <c r="H22">
        <v>6</v>
      </c>
      <c r="I22">
        <v>2</v>
      </c>
      <c r="J22">
        <v>1</v>
      </c>
      <c r="K22">
        <v>0</v>
      </c>
      <c r="L22">
        <v>0</v>
      </c>
      <c r="M22" s="3">
        <v>11</v>
      </c>
    </row>
    <row r="23" spans="1:19" x14ac:dyDescent="0.3">
      <c r="A23" t="s">
        <v>125</v>
      </c>
      <c r="B23" t="s">
        <v>28</v>
      </c>
      <c r="C23" t="s">
        <v>22</v>
      </c>
      <c r="D23" s="18" t="s">
        <v>126</v>
      </c>
      <c r="E23" s="10" t="s">
        <v>127</v>
      </c>
      <c r="F23" t="s">
        <v>32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9" x14ac:dyDescent="0.3">
      <c r="A24" t="s">
        <v>134</v>
      </c>
      <c r="B24" t="s">
        <v>28</v>
      </c>
      <c r="C24" t="s">
        <v>29</v>
      </c>
      <c r="D24" t="s">
        <v>135</v>
      </c>
      <c r="E24" t="s">
        <v>136</v>
      </c>
      <c r="F24" t="s">
        <v>137</v>
      </c>
      <c r="G24" t="s">
        <v>138</v>
      </c>
      <c r="H24">
        <v>20</v>
      </c>
      <c r="I24">
        <v>8</v>
      </c>
      <c r="J24">
        <v>4</v>
      </c>
      <c r="K24">
        <v>0</v>
      </c>
      <c r="L24">
        <v>0</v>
      </c>
      <c r="M24" s="3">
        <v>8</v>
      </c>
      <c r="O24">
        <v>6</v>
      </c>
      <c r="R24">
        <v>14</v>
      </c>
      <c r="S24" s="1"/>
    </row>
    <row r="25" spans="1:19" x14ac:dyDescent="0.3">
      <c r="A25" t="s">
        <v>139</v>
      </c>
      <c r="B25" t="s">
        <v>21</v>
      </c>
      <c r="C25" t="s">
        <v>22</v>
      </c>
      <c r="D25" t="s">
        <v>140</v>
      </c>
      <c r="E25" t="s">
        <v>141</v>
      </c>
      <c r="F25" t="s">
        <v>142</v>
      </c>
      <c r="G25" t="s">
        <v>143</v>
      </c>
      <c r="H25">
        <v>30</v>
      </c>
      <c r="I25">
        <v>0</v>
      </c>
      <c r="J25">
        <v>0</v>
      </c>
      <c r="K25">
        <v>0</v>
      </c>
      <c r="L25">
        <v>2</v>
      </c>
      <c r="O25">
        <v>5</v>
      </c>
      <c r="R25">
        <v>13</v>
      </c>
      <c r="S25" s="1"/>
    </row>
    <row r="26" spans="1:19" x14ac:dyDescent="0.3">
      <c r="A26" t="s">
        <v>139</v>
      </c>
      <c r="B26" t="s">
        <v>21</v>
      </c>
      <c r="C26" t="s">
        <v>22</v>
      </c>
      <c r="D26" t="s">
        <v>140</v>
      </c>
      <c r="E26" t="s">
        <v>141</v>
      </c>
      <c r="F26" t="s">
        <v>142</v>
      </c>
      <c r="G26" t="s">
        <v>144</v>
      </c>
      <c r="H26">
        <v>55</v>
      </c>
      <c r="I26">
        <v>10</v>
      </c>
      <c r="J26">
        <v>2</v>
      </c>
      <c r="K26">
        <v>0</v>
      </c>
      <c r="L26">
        <v>2</v>
      </c>
      <c r="O26">
        <v>8</v>
      </c>
      <c r="R26">
        <v>16</v>
      </c>
      <c r="S26" s="1"/>
    </row>
    <row r="27" spans="1:19" x14ac:dyDescent="0.3">
      <c r="A27" t="s">
        <v>139</v>
      </c>
      <c r="B27" t="s">
        <v>21</v>
      </c>
      <c r="C27" t="s">
        <v>22</v>
      </c>
      <c r="D27" t="s">
        <v>140</v>
      </c>
      <c r="E27" t="s">
        <v>141</v>
      </c>
      <c r="F27" t="s">
        <v>142</v>
      </c>
      <c r="G27" t="s">
        <v>145</v>
      </c>
      <c r="H27">
        <v>4</v>
      </c>
      <c r="I27">
        <v>0</v>
      </c>
      <c r="J27">
        <v>0</v>
      </c>
      <c r="K27">
        <v>0</v>
      </c>
      <c r="L27">
        <v>2</v>
      </c>
      <c r="O27">
        <v>9</v>
      </c>
      <c r="R27">
        <v>10</v>
      </c>
      <c r="S27" s="1"/>
    </row>
    <row r="28" spans="1:19" x14ac:dyDescent="0.3">
      <c r="A28" t="s">
        <v>146</v>
      </c>
      <c r="B28" t="s">
        <v>21</v>
      </c>
      <c r="C28" t="s">
        <v>29</v>
      </c>
      <c r="D28" t="s">
        <v>147</v>
      </c>
      <c r="E28" t="s">
        <v>148</v>
      </c>
      <c r="F28" t="s">
        <v>25</v>
      </c>
      <c r="G28" t="s">
        <v>242</v>
      </c>
      <c r="H28">
        <v>75</v>
      </c>
      <c r="I28">
        <v>23</v>
      </c>
      <c r="J28">
        <v>5</v>
      </c>
      <c r="K28">
        <v>0</v>
      </c>
      <c r="L28">
        <v>0</v>
      </c>
      <c r="M28" s="7">
        <v>23</v>
      </c>
      <c r="O28">
        <v>23</v>
      </c>
      <c r="P28">
        <v>15.5</v>
      </c>
      <c r="Q28">
        <v>22.5</v>
      </c>
      <c r="R28">
        <v>16.5</v>
      </c>
      <c r="S28" s="1"/>
    </row>
    <row r="29" spans="1:19" x14ac:dyDescent="0.3">
      <c r="A29" s="2" t="s">
        <v>146</v>
      </c>
      <c r="B29" t="s">
        <v>21</v>
      </c>
      <c r="C29" t="s">
        <v>29</v>
      </c>
      <c r="D29" t="s">
        <v>147</v>
      </c>
      <c r="E29" t="s">
        <v>148</v>
      </c>
      <c r="F29" t="s">
        <v>25</v>
      </c>
      <c r="G29" t="s">
        <v>150</v>
      </c>
      <c r="H29">
        <v>75</v>
      </c>
      <c r="I29">
        <v>0</v>
      </c>
      <c r="J29">
        <v>0</v>
      </c>
      <c r="K29">
        <v>0</v>
      </c>
      <c r="L29">
        <v>0</v>
      </c>
      <c r="M29" s="7">
        <v>25</v>
      </c>
      <c r="O29">
        <v>19</v>
      </c>
      <c r="P29">
        <v>11</v>
      </c>
      <c r="Q29">
        <v>18.5</v>
      </c>
      <c r="R29">
        <v>12.5</v>
      </c>
      <c r="S29" s="1"/>
    </row>
    <row r="30" spans="1:19" x14ac:dyDescent="0.3">
      <c r="A30" t="s">
        <v>146</v>
      </c>
      <c r="B30" t="s">
        <v>21</v>
      </c>
      <c r="C30" t="s">
        <v>29</v>
      </c>
      <c r="D30" t="s">
        <v>147</v>
      </c>
      <c r="E30" t="s">
        <v>148</v>
      </c>
      <c r="F30" t="s">
        <v>25</v>
      </c>
      <c r="G30" t="s">
        <v>151</v>
      </c>
      <c r="H30">
        <v>50</v>
      </c>
      <c r="I30">
        <v>20</v>
      </c>
      <c r="J30">
        <v>10</v>
      </c>
      <c r="K30">
        <v>0</v>
      </c>
      <c r="L30">
        <v>0</v>
      </c>
      <c r="O30">
        <v>10.5</v>
      </c>
      <c r="P30">
        <v>6.5</v>
      </c>
      <c r="Q30">
        <v>11.5</v>
      </c>
      <c r="R30">
        <v>6.5</v>
      </c>
      <c r="S30" s="1"/>
    </row>
    <row r="31" spans="1:19" x14ac:dyDescent="0.3">
      <c r="A31" t="s">
        <v>152</v>
      </c>
      <c r="B31" t="s">
        <v>28</v>
      </c>
      <c r="C31" t="s">
        <v>22</v>
      </c>
      <c r="D31" t="s">
        <v>153</v>
      </c>
      <c r="E31" t="s">
        <v>154</v>
      </c>
      <c r="F31" t="s">
        <v>155</v>
      </c>
      <c r="G31" t="s">
        <v>156</v>
      </c>
      <c r="H31">
        <v>30</v>
      </c>
      <c r="I31">
        <v>0</v>
      </c>
      <c r="J31">
        <v>0</v>
      </c>
      <c r="K31">
        <v>0</v>
      </c>
      <c r="L31">
        <v>0</v>
      </c>
      <c r="M31" s="16">
        <v>5</v>
      </c>
      <c r="O31">
        <v>10</v>
      </c>
      <c r="R31">
        <v>2</v>
      </c>
      <c r="S31" s="1"/>
    </row>
    <row r="32" spans="1:19" x14ac:dyDescent="0.3">
      <c r="A32" t="s">
        <v>157</v>
      </c>
      <c r="B32" t="s">
        <v>53</v>
      </c>
      <c r="C32" t="s">
        <v>22</v>
      </c>
      <c r="D32" t="s">
        <v>153</v>
      </c>
      <c r="E32" t="s">
        <v>154</v>
      </c>
      <c r="F32" t="s">
        <v>56</v>
      </c>
      <c r="G32" t="s">
        <v>158</v>
      </c>
      <c r="H32">
        <v>30</v>
      </c>
      <c r="I32">
        <v>0</v>
      </c>
      <c r="J32">
        <v>0</v>
      </c>
      <c r="K32">
        <v>0</v>
      </c>
      <c r="L32">
        <v>0</v>
      </c>
    </row>
    <row r="33" spans="1:19" x14ac:dyDescent="0.3">
      <c r="A33" t="s">
        <v>159</v>
      </c>
      <c r="B33" t="s">
        <v>28</v>
      </c>
      <c r="C33" t="s">
        <v>22</v>
      </c>
      <c r="D33" t="s">
        <v>160</v>
      </c>
      <c r="E33" t="s">
        <v>161</v>
      </c>
      <c r="F33" t="s">
        <v>162</v>
      </c>
      <c r="G33" t="s">
        <v>163</v>
      </c>
      <c r="H33">
        <v>17</v>
      </c>
      <c r="I33">
        <v>6</v>
      </c>
      <c r="J33">
        <v>3</v>
      </c>
      <c r="K33">
        <v>4</v>
      </c>
      <c r="L33">
        <v>0</v>
      </c>
      <c r="M33" s="16">
        <v>6</v>
      </c>
      <c r="O33">
        <v>3</v>
      </c>
      <c r="R33">
        <v>11</v>
      </c>
      <c r="S33" s="1"/>
    </row>
    <row r="34" spans="1:19" x14ac:dyDescent="0.3">
      <c r="A34" t="s">
        <v>164</v>
      </c>
      <c r="B34" t="s">
        <v>28</v>
      </c>
      <c r="C34" t="s">
        <v>22</v>
      </c>
      <c r="D34" t="s">
        <v>165</v>
      </c>
      <c r="E34" t="s">
        <v>166</v>
      </c>
      <c r="F34" t="s">
        <v>32</v>
      </c>
      <c r="G34" t="s">
        <v>167</v>
      </c>
      <c r="H34">
        <v>25</v>
      </c>
      <c r="I34">
        <v>0</v>
      </c>
      <c r="J34">
        <v>0</v>
      </c>
      <c r="K34">
        <v>0</v>
      </c>
      <c r="L34">
        <v>0</v>
      </c>
      <c r="O34">
        <v>12</v>
      </c>
      <c r="R34">
        <v>5</v>
      </c>
      <c r="S34" s="1"/>
    </row>
    <row r="35" spans="1:19" x14ac:dyDescent="0.3">
      <c r="A35" t="s">
        <v>164</v>
      </c>
      <c r="B35" t="s">
        <v>53</v>
      </c>
      <c r="C35" t="s">
        <v>22</v>
      </c>
      <c r="D35" t="s">
        <v>165</v>
      </c>
      <c r="E35" t="s">
        <v>166</v>
      </c>
      <c r="F35" t="s">
        <v>32</v>
      </c>
      <c r="G35" t="s">
        <v>168</v>
      </c>
      <c r="H35">
        <v>7</v>
      </c>
      <c r="I35">
        <v>0</v>
      </c>
      <c r="J35">
        <v>0</v>
      </c>
      <c r="K35">
        <v>0</v>
      </c>
      <c r="L35">
        <v>0</v>
      </c>
      <c r="O35">
        <v>7.5</v>
      </c>
      <c r="P35">
        <v>5</v>
      </c>
      <c r="Q35">
        <v>9.5</v>
      </c>
      <c r="R35">
        <v>3.5</v>
      </c>
    </row>
    <row r="36" spans="1:19" x14ac:dyDescent="0.3">
      <c r="A36" t="s">
        <v>164</v>
      </c>
      <c r="B36" t="s">
        <v>53</v>
      </c>
      <c r="C36" t="s">
        <v>22</v>
      </c>
      <c r="D36" t="s">
        <v>165</v>
      </c>
      <c r="E36" t="s">
        <v>166</v>
      </c>
      <c r="F36" t="s">
        <v>32</v>
      </c>
      <c r="G36" t="s">
        <v>169</v>
      </c>
      <c r="H36">
        <v>20</v>
      </c>
      <c r="I36">
        <v>0</v>
      </c>
      <c r="J36">
        <v>0</v>
      </c>
      <c r="K36">
        <v>0</v>
      </c>
      <c r="L36">
        <v>0</v>
      </c>
      <c r="O36">
        <v>9.5</v>
      </c>
      <c r="P36">
        <v>3</v>
      </c>
      <c r="Q36">
        <v>9.5</v>
      </c>
      <c r="R36">
        <v>3.5</v>
      </c>
    </row>
    <row r="37" spans="1:19" x14ac:dyDescent="0.3">
      <c r="A37" t="s">
        <v>164</v>
      </c>
      <c r="B37" t="s">
        <v>53</v>
      </c>
      <c r="C37" t="s">
        <v>22</v>
      </c>
      <c r="D37" t="s">
        <v>165</v>
      </c>
      <c r="E37" t="s">
        <v>166</v>
      </c>
      <c r="F37" t="s">
        <v>32</v>
      </c>
      <c r="G37" t="s">
        <v>167</v>
      </c>
      <c r="H37">
        <v>12</v>
      </c>
      <c r="I37">
        <v>0</v>
      </c>
      <c r="J37">
        <v>0</v>
      </c>
      <c r="K37">
        <v>0</v>
      </c>
      <c r="L37">
        <v>0</v>
      </c>
      <c r="O37">
        <v>10</v>
      </c>
      <c r="P37">
        <v>3.5</v>
      </c>
      <c r="Q37">
        <v>10</v>
      </c>
      <c r="R37">
        <v>4.5</v>
      </c>
    </row>
    <row r="38" spans="1:19" x14ac:dyDescent="0.3">
      <c r="A38" t="s">
        <v>170</v>
      </c>
      <c r="B38" t="s">
        <v>113</v>
      </c>
      <c r="D38" t="s">
        <v>171</v>
      </c>
      <c r="E38" t="s">
        <v>172</v>
      </c>
      <c r="F38" t="s">
        <v>56</v>
      </c>
      <c r="G38" t="s">
        <v>173</v>
      </c>
      <c r="H38">
        <v>80</v>
      </c>
      <c r="I38">
        <v>0</v>
      </c>
      <c r="J38">
        <v>0</v>
      </c>
      <c r="K38">
        <v>0</v>
      </c>
      <c r="L38">
        <v>0</v>
      </c>
      <c r="O38">
        <v>7</v>
      </c>
      <c r="R38">
        <v>4</v>
      </c>
      <c r="S38" s="1"/>
    </row>
    <row r="39" spans="1:19" x14ac:dyDescent="0.3">
      <c r="A39" t="s">
        <v>170</v>
      </c>
      <c r="B39" t="s">
        <v>53</v>
      </c>
      <c r="D39" t="s">
        <v>171</v>
      </c>
      <c r="E39" t="s">
        <v>172</v>
      </c>
      <c r="F39" t="s">
        <v>56</v>
      </c>
      <c r="G39" t="s">
        <v>174</v>
      </c>
      <c r="H39">
        <v>10</v>
      </c>
      <c r="I39">
        <v>0</v>
      </c>
      <c r="J39">
        <v>0</v>
      </c>
      <c r="K39">
        <v>0</v>
      </c>
      <c r="L39">
        <v>0</v>
      </c>
      <c r="O39">
        <v>6</v>
      </c>
      <c r="P39">
        <v>8</v>
      </c>
      <c r="Q39">
        <v>1.5</v>
      </c>
      <c r="R39">
        <v>5.5</v>
      </c>
    </row>
    <row r="40" spans="1:19" x14ac:dyDescent="0.3">
      <c r="A40" t="s">
        <v>170</v>
      </c>
      <c r="B40" t="s">
        <v>53</v>
      </c>
      <c r="D40" t="s">
        <v>171</v>
      </c>
      <c r="E40" t="s">
        <v>172</v>
      </c>
      <c r="F40" t="s">
        <v>56</v>
      </c>
      <c r="G40" t="s">
        <v>173</v>
      </c>
      <c r="H40">
        <v>45</v>
      </c>
      <c r="I40">
        <v>0</v>
      </c>
      <c r="J40">
        <v>0</v>
      </c>
      <c r="K40">
        <v>0</v>
      </c>
      <c r="L40">
        <v>0</v>
      </c>
      <c r="O40">
        <v>6.5</v>
      </c>
      <c r="P40">
        <v>5</v>
      </c>
      <c r="Q40">
        <v>9</v>
      </c>
      <c r="R40">
        <v>3.5</v>
      </c>
    </row>
    <row r="41" spans="1:19" x14ac:dyDescent="0.3">
      <c r="A41" t="s">
        <v>176</v>
      </c>
      <c r="B41" t="s">
        <v>28</v>
      </c>
      <c r="C41" t="s">
        <v>22</v>
      </c>
      <c r="D41" s="18" t="s">
        <v>177</v>
      </c>
      <c r="E41" s="10" t="s">
        <v>178</v>
      </c>
      <c r="F41" t="s">
        <v>38</v>
      </c>
      <c r="G41" t="s">
        <v>515</v>
      </c>
      <c r="H41">
        <v>36</v>
      </c>
      <c r="I41">
        <v>12</v>
      </c>
      <c r="J41">
        <v>6</v>
      </c>
      <c r="K41">
        <v>0</v>
      </c>
      <c r="L41">
        <v>5</v>
      </c>
    </row>
    <row r="42" spans="1:19" x14ac:dyDescent="0.3">
      <c r="A42" t="s">
        <v>183</v>
      </c>
      <c r="B42" t="s">
        <v>28</v>
      </c>
      <c r="C42" t="s">
        <v>22</v>
      </c>
      <c r="D42" t="s">
        <v>184</v>
      </c>
      <c r="E42" t="s">
        <v>185</v>
      </c>
      <c r="F42" t="s">
        <v>186</v>
      </c>
      <c r="G42" t="s">
        <v>516</v>
      </c>
      <c r="H42">
        <v>40</v>
      </c>
      <c r="I42">
        <v>14</v>
      </c>
      <c r="J42">
        <v>7</v>
      </c>
      <c r="K42">
        <v>0</v>
      </c>
      <c r="L42">
        <v>0</v>
      </c>
      <c r="O42">
        <v>12</v>
      </c>
      <c r="R42">
        <v>8</v>
      </c>
      <c r="S42" s="1"/>
    </row>
    <row r="43" spans="1:19" x14ac:dyDescent="0.3">
      <c r="A43" t="s">
        <v>188</v>
      </c>
      <c r="B43" t="s">
        <v>21</v>
      </c>
      <c r="C43" t="s">
        <v>22</v>
      </c>
      <c r="D43" t="s">
        <v>189</v>
      </c>
      <c r="E43" t="s">
        <v>190</v>
      </c>
      <c r="F43" t="s">
        <v>191</v>
      </c>
      <c r="G43" t="s">
        <v>192</v>
      </c>
      <c r="H43">
        <v>80</v>
      </c>
      <c r="I43">
        <v>0</v>
      </c>
      <c r="J43">
        <v>0</v>
      </c>
      <c r="K43">
        <v>0</v>
      </c>
      <c r="L43">
        <v>0</v>
      </c>
      <c r="O43">
        <v>11.5</v>
      </c>
      <c r="P43">
        <v>5.5</v>
      </c>
      <c r="Q43">
        <v>10.5</v>
      </c>
      <c r="R43">
        <v>6</v>
      </c>
      <c r="S43" s="1"/>
    </row>
    <row r="44" spans="1:19" x14ac:dyDescent="0.3">
      <c r="A44" t="s">
        <v>193</v>
      </c>
      <c r="B44" t="s">
        <v>28</v>
      </c>
      <c r="C44" t="s">
        <v>22</v>
      </c>
      <c r="D44" t="s">
        <v>194</v>
      </c>
      <c r="E44" t="s">
        <v>195</v>
      </c>
      <c r="F44" t="s">
        <v>43</v>
      </c>
      <c r="G44" t="s">
        <v>196</v>
      </c>
      <c r="H44">
        <v>10</v>
      </c>
      <c r="I44">
        <v>4</v>
      </c>
      <c r="J44">
        <v>2</v>
      </c>
      <c r="K44">
        <v>2</v>
      </c>
      <c r="L44">
        <v>0</v>
      </c>
      <c r="O44">
        <v>6</v>
      </c>
      <c r="R44">
        <v>13</v>
      </c>
      <c r="S44" s="1"/>
    </row>
    <row r="45" spans="1:19" x14ac:dyDescent="0.3">
      <c r="A45" s="2" t="s">
        <v>517</v>
      </c>
      <c r="B45" t="s">
        <v>28</v>
      </c>
      <c r="C45" t="s">
        <v>22</v>
      </c>
      <c r="D45" t="s">
        <v>198</v>
      </c>
      <c r="E45" s="10"/>
      <c r="G45" t="s">
        <v>106</v>
      </c>
      <c r="H45">
        <v>13</v>
      </c>
      <c r="I45">
        <v>28</v>
      </c>
      <c r="J45">
        <v>14</v>
      </c>
      <c r="K45">
        <v>0</v>
      </c>
      <c r="L45">
        <v>2</v>
      </c>
      <c r="O45">
        <v>31</v>
      </c>
      <c r="R45">
        <v>19</v>
      </c>
      <c r="S45" s="1"/>
    </row>
    <row r="46" spans="1:19" x14ac:dyDescent="0.3">
      <c r="A46" t="s">
        <v>197</v>
      </c>
      <c r="B46" t="s">
        <v>21</v>
      </c>
      <c r="D46" t="s">
        <v>198</v>
      </c>
      <c r="E46" t="s">
        <v>199</v>
      </c>
      <c r="F46" t="s">
        <v>92</v>
      </c>
      <c r="G46" t="s">
        <v>203</v>
      </c>
      <c r="H46">
        <v>50</v>
      </c>
      <c r="I46">
        <v>0</v>
      </c>
      <c r="J46">
        <v>0</v>
      </c>
      <c r="K46">
        <v>0</v>
      </c>
      <c r="L46">
        <v>0</v>
      </c>
      <c r="O46">
        <v>3.5</v>
      </c>
      <c r="P46">
        <v>14</v>
      </c>
      <c r="Q46">
        <v>7.5</v>
      </c>
      <c r="R46">
        <v>10.5</v>
      </c>
      <c r="S46" s="1"/>
    </row>
    <row r="47" spans="1:19" x14ac:dyDescent="0.3">
      <c r="A47" s="38" t="s">
        <v>204</v>
      </c>
      <c r="B47" t="s">
        <v>21</v>
      </c>
      <c r="C47" t="s">
        <v>22</v>
      </c>
      <c r="D47" s="10" t="s">
        <v>205</v>
      </c>
      <c r="E47" s="10" t="s">
        <v>206</v>
      </c>
      <c r="F47" t="s">
        <v>92</v>
      </c>
      <c r="G47" t="s">
        <v>207</v>
      </c>
      <c r="H47">
        <v>36</v>
      </c>
      <c r="I47">
        <v>12</v>
      </c>
      <c r="J47">
        <v>4</v>
      </c>
      <c r="K47">
        <v>0</v>
      </c>
      <c r="L47">
        <v>0</v>
      </c>
    </row>
    <row r="48" spans="1:19" x14ac:dyDescent="0.3">
      <c r="A48" t="s">
        <v>208</v>
      </c>
      <c r="B48" t="s">
        <v>21</v>
      </c>
      <c r="C48" t="s">
        <v>22</v>
      </c>
      <c r="D48" t="s">
        <v>209</v>
      </c>
      <c r="E48" t="s">
        <v>210</v>
      </c>
      <c r="F48" t="s">
        <v>211</v>
      </c>
      <c r="G48" t="s">
        <v>212</v>
      </c>
      <c r="I48">
        <v>10</v>
      </c>
      <c r="J48">
        <v>4</v>
      </c>
      <c r="K48">
        <v>0</v>
      </c>
      <c r="L48">
        <v>1</v>
      </c>
      <c r="O48">
        <v>10.5</v>
      </c>
      <c r="P48">
        <v>6.5</v>
      </c>
      <c r="Q48">
        <v>10</v>
      </c>
      <c r="R48">
        <v>6.5</v>
      </c>
    </row>
    <row r="49" spans="1:19" x14ac:dyDescent="0.3">
      <c r="A49" t="s">
        <v>208</v>
      </c>
      <c r="B49" t="s">
        <v>21</v>
      </c>
      <c r="C49" t="s">
        <v>22</v>
      </c>
      <c r="D49" t="s">
        <v>209</v>
      </c>
      <c r="E49" t="s">
        <v>213</v>
      </c>
      <c r="F49" t="s">
        <v>211</v>
      </c>
      <c r="G49" t="s">
        <v>214</v>
      </c>
      <c r="I49">
        <v>8</v>
      </c>
      <c r="J49">
        <v>6</v>
      </c>
      <c r="K49">
        <v>0</v>
      </c>
      <c r="L49">
        <v>1</v>
      </c>
      <c r="O49">
        <v>16</v>
      </c>
      <c r="P49">
        <v>11.5</v>
      </c>
      <c r="Q49">
        <v>16</v>
      </c>
      <c r="R49">
        <v>11</v>
      </c>
    </row>
    <row r="50" spans="1:19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13</v>
      </c>
      <c r="N50" t="s">
        <v>14</v>
      </c>
      <c r="O50" t="s">
        <v>15</v>
      </c>
      <c r="P50" t="s">
        <v>16</v>
      </c>
      <c r="Q50" t="s">
        <v>17</v>
      </c>
      <c r="R50" t="s">
        <v>18</v>
      </c>
      <c r="S50" t="s">
        <v>19</v>
      </c>
    </row>
    <row r="51" spans="1:19" x14ac:dyDescent="0.3">
      <c r="A51" t="s">
        <v>52</v>
      </c>
      <c r="B51" t="s">
        <v>53</v>
      </c>
      <c r="C51" t="s">
        <v>29</v>
      </c>
      <c r="D51" s="10" t="s">
        <v>54</v>
      </c>
      <c r="F51" t="s">
        <v>56</v>
      </c>
      <c r="G51" t="s">
        <v>513</v>
      </c>
      <c r="H51">
        <v>17</v>
      </c>
      <c r="I51">
        <v>0</v>
      </c>
      <c r="J51">
        <v>0</v>
      </c>
      <c r="K51">
        <v>0</v>
      </c>
      <c r="L51">
        <v>0</v>
      </c>
    </row>
    <row r="52" spans="1:19" x14ac:dyDescent="0.3">
      <c r="A52" t="s">
        <v>67</v>
      </c>
      <c r="B52" t="s">
        <v>21</v>
      </c>
      <c r="C52" t="s">
        <v>22</v>
      </c>
      <c r="D52" s="18" t="s">
        <v>68</v>
      </c>
      <c r="E52" s="10" t="s">
        <v>69</v>
      </c>
    </row>
    <row r="53" spans="1:19" x14ac:dyDescent="0.3">
      <c r="A53" t="s">
        <v>70</v>
      </c>
      <c r="B53" t="s">
        <v>53</v>
      </c>
      <c r="C53" t="s">
        <v>29</v>
      </c>
      <c r="D53" t="s">
        <v>71</v>
      </c>
      <c r="E53" t="s">
        <v>72</v>
      </c>
      <c r="F53" t="s">
        <v>56</v>
      </c>
      <c r="G53" t="s">
        <v>73</v>
      </c>
      <c r="H53">
        <v>15</v>
      </c>
      <c r="I53">
        <v>0</v>
      </c>
      <c r="J53">
        <v>0</v>
      </c>
      <c r="K53">
        <v>0</v>
      </c>
      <c r="L53">
        <v>0</v>
      </c>
      <c r="O53">
        <v>20</v>
      </c>
      <c r="R53">
        <v>15</v>
      </c>
      <c r="S53" s="1"/>
    </row>
    <row r="54" spans="1:19" x14ac:dyDescent="0.3">
      <c r="A54" t="s">
        <v>159</v>
      </c>
      <c r="B54" t="s">
        <v>28</v>
      </c>
      <c r="C54" t="s">
        <v>22</v>
      </c>
      <c r="D54" t="s">
        <v>160</v>
      </c>
      <c r="E54" t="s">
        <v>161</v>
      </c>
      <c r="F54" t="s">
        <v>162</v>
      </c>
      <c r="G54" t="s">
        <v>163</v>
      </c>
      <c r="H54">
        <v>17</v>
      </c>
      <c r="I54">
        <v>6</v>
      </c>
      <c r="J54">
        <v>3</v>
      </c>
      <c r="K54">
        <v>4</v>
      </c>
      <c r="L54">
        <v>0</v>
      </c>
      <c r="M54" s="16">
        <v>6</v>
      </c>
      <c r="O54">
        <v>3</v>
      </c>
      <c r="R54">
        <v>11</v>
      </c>
      <c r="S54" s="1"/>
    </row>
    <row r="55" spans="1:19" x14ac:dyDescent="0.3">
      <c r="A55" t="s">
        <v>164</v>
      </c>
      <c r="B55" t="s">
        <v>28</v>
      </c>
      <c r="C55" t="s">
        <v>22</v>
      </c>
      <c r="D55" t="s">
        <v>165</v>
      </c>
      <c r="E55" t="s">
        <v>166</v>
      </c>
      <c r="F55" t="s">
        <v>32</v>
      </c>
      <c r="G55" t="s">
        <v>167</v>
      </c>
      <c r="H55">
        <v>25</v>
      </c>
      <c r="I55">
        <v>0</v>
      </c>
      <c r="J55">
        <v>0</v>
      </c>
      <c r="K55">
        <v>0</v>
      </c>
      <c r="L55">
        <v>0</v>
      </c>
      <c r="O55">
        <v>12</v>
      </c>
      <c r="R55">
        <v>5</v>
      </c>
      <c r="S55" s="1"/>
    </row>
    <row r="56" spans="1:19" x14ac:dyDescent="0.3">
      <c r="A56" t="s">
        <v>193</v>
      </c>
      <c r="B56" t="s">
        <v>28</v>
      </c>
      <c r="C56" t="s">
        <v>22</v>
      </c>
      <c r="D56" t="s">
        <v>194</v>
      </c>
      <c r="E56" t="s">
        <v>195</v>
      </c>
      <c r="F56" t="s">
        <v>43</v>
      </c>
      <c r="G56" t="s">
        <v>196</v>
      </c>
      <c r="H56">
        <v>10</v>
      </c>
      <c r="I56">
        <v>4</v>
      </c>
      <c r="J56">
        <v>2</v>
      </c>
      <c r="K56">
        <v>2</v>
      </c>
      <c r="L56">
        <v>0</v>
      </c>
      <c r="O56">
        <v>6</v>
      </c>
      <c r="R56">
        <v>13</v>
      </c>
      <c r="S56" s="1"/>
    </row>
    <row r="57" spans="1:19" x14ac:dyDescent="0.3">
      <c r="A57" s="2" t="s">
        <v>517</v>
      </c>
      <c r="B57" t="s">
        <v>28</v>
      </c>
      <c r="C57" t="s">
        <v>22</v>
      </c>
      <c r="D57" t="s">
        <v>198</v>
      </c>
      <c r="E57" s="10"/>
      <c r="G57" t="s">
        <v>106</v>
      </c>
      <c r="H57">
        <v>13</v>
      </c>
      <c r="I57">
        <v>28</v>
      </c>
      <c r="J57">
        <v>14</v>
      </c>
      <c r="K57">
        <v>0</v>
      </c>
      <c r="L57">
        <v>2</v>
      </c>
      <c r="O57">
        <v>31</v>
      </c>
      <c r="R57">
        <v>19</v>
      </c>
      <c r="S57" s="1"/>
    </row>
    <row r="58" spans="1:19" x14ac:dyDescent="0.3">
      <c r="A58" t="s">
        <v>197</v>
      </c>
      <c r="B58" t="s">
        <v>21</v>
      </c>
      <c r="D58" t="s">
        <v>198</v>
      </c>
      <c r="E58" t="s">
        <v>199</v>
      </c>
      <c r="F58" t="s">
        <v>92</v>
      </c>
      <c r="G58" t="s">
        <v>203</v>
      </c>
      <c r="H58">
        <v>50</v>
      </c>
      <c r="I58">
        <v>0</v>
      </c>
      <c r="J58">
        <v>0</v>
      </c>
      <c r="K58">
        <v>0</v>
      </c>
      <c r="L58">
        <v>0</v>
      </c>
      <c r="O58">
        <v>3.5</v>
      </c>
      <c r="P58">
        <v>14</v>
      </c>
      <c r="Q58">
        <v>7.5</v>
      </c>
      <c r="R58">
        <v>10.5</v>
      </c>
      <c r="S58" s="1"/>
    </row>
    <row r="59" spans="1:19" x14ac:dyDescent="0.3">
      <c r="A59" t="s">
        <v>263</v>
      </c>
      <c r="B59" t="s">
        <v>21</v>
      </c>
      <c r="C59" t="s">
        <v>22</v>
      </c>
      <c r="D59" s="18" t="s">
        <v>264</v>
      </c>
      <c r="E59" t="s">
        <v>265</v>
      </c>
      <c r="F59" t="s">
        <v>266</v>
      </c>
      <c r="G59" t="s">
        <v>267</v>
      </c>
      <c r="H59">
        <v>20</v>
      </c>
      <c r="I59">
        <v>10</v>
      </c>
      <c r="J59">
        <v>2</v>
      </c>
      <c r="K59">
        <v>0</v>
      </c>
      <c r="L59">
        <v>0</v>
      </c>
      <c r="N59" s="3">
        <v>9</v>
      </c>
    </row>
    <row r="60" spans="1:19" x14ac:dyDescent="0.3">
      <c r="A60" t="s">
        <v>263</v>
      </c>
      <c r="B60" t="s">
        <v>21</v>
      </c>
      <c r="C60" t="s">
        <v>22</v>
      </c>
      <c r="D60" s="18" t="s">
        <v>264</v>
      </c>
      <c r="E60" t="s">
        <v>265</v>
      </c>
      <c r="F60" t="s">
        <v>266</v>
      </c>
      <c r="G60" t="s">
        <v>268</v>
      </c>
      <c r="H60">
        <f>H51+H52+H53+H54+H55+H56+H57+H58</f>
        <v>147</v>
      </c>
      <c r="I60">
        <v>3</v>
      </c>
      <c r="J60">
        <v>3</v>
      </c>
      <c r="K60">
        <v>0</v>
      </c>
      <c r="L60">
        <v>0</v>
      </c>
      <c r="N60" s="3">
        <v>9</v>
      </c>
    </row>
    <row r="61" spans="1:19" x14ac:dyDescent="0.3">
      <c r="A61" t="s">
        <v>263</v>
      </c>
      <c r="B61" t="s">
        <v>21</v>
      </c>
      <c r="C61" t="s">
        <v>22</v>
      </c>
      <c r="D61" s="18" t="s">
        <v>264</v>
      </c>
      <c r="E61" t="s">
        <v>265</v>
      </c>
      <c r="F61" t="s">
        <v>266</v>
      </c>
      <c r="G61" t="s">
        <v>269</v>
      </c>
      <c r="H61">
        <v>25</v>
      </c>
      <c r="I61">
        <v>10</v>
      </c>
      <c r="J61">
        <v>2</v>
      </c>
      <c r="K61">
        <v>0</v>
      </c>
      <c r="L61">
        <v>0</v>
      </c>
      <c r="N61" s="3">
        <v>9</v>
      </c>
    </row>
    <row r="62" spans="1:19" x14ac:dyDescent="0.3">
      <c r="A62" t="s">
        <v>263</v>
      </c>
      <c r="B62" t="s">
        <v>21</v>
      </c>
      <c r="C62" t="s">
        <v>22</v>
      </c>
      <c r="D62" s="18" t="s">
        <v>264</v>
      </c>
      <c r="E62" t="s">
        <v>265</v>
      </c>
      <c r="F62" t="s">
        <v>25</v>
      </c>
      <c r="G62" t="s">
        <v>270</v>
      </c>
      <c r="H62">
        <v>25</v>
      </c>
      <c r="I62">
        <v>10</v>
      </c>
      <c r="J62">
        <v>2</v>
      </c>
      <c r="K62">
        <v>0</v>
      </c>
      <c r="L62">
        <v>0</v>
      </c>
      <c r="N62" s="3">
        <v>9</v>
      </c>
    </row>
    <row r="63" spans="1:19" x14ac:dyDescent="0.3">
      <c r="A63" t="s">
        <v>271</v>
      </c>
      <c r="B63" t="s">
        <v>53</v>
      </c>
      <c r="C63" t="s">
        <v>29</v>
      </c>
      <c r="D63" s="18" t="s">
        <v>272</v>
      </c>
      <c r="E63" s="10" t="s">
        <v>273</v>
      </c>
      <c r="F63" t="s">
        <v>56</v>
      </c>
      <c r="G63" t="s">
        <v>274</v>
      </c>
      <c r="H63">
        <v>24</v>
      </c>
      <c r="I63">
        <v>0</v>
      </c>
      <c r="J63">
        <v>0</v>
      </c>
      <c r="K63">
        <v>0</v>
      </c>
      <c r="L63">
        <v>0</v>
      </c>
    </row>
    <row r="64" spans="1:19" x14ac:dyDescent="0.3">
      <c r="A64" t="s">
        <v>275</v>
      </c>
      <c r="B64" t="s">
        <v>28</v>
      </c>
      <c r="C64" t="s">
        <v>22</v>
      </c>
      <c r="D64" t="s">
        <v>276</v>
      </c>
      <c r="E64" t="s">
        <v>277</v>
      </c>
      <c r="F64" t="s">
        <v>38</v>
      </c>
      <c r="G64" t="s">
        <v>278</v>
      </c>
      <c r="H64">
        <v>40</v>
      </c>
      <c r="I64">
        <v>16</v>
      </c>
      <c r="J64">
        <v>8</v>
      </c>
      <c r="K64">
        <v>0</v>
      </c>
      <c r="L64">
        <v>0</v>
      </c>
      <c r="O64">
        <v>21</v>
      </c>
      <c r="R64">
        <v>16</v>
      </c>
      <c r="S64" s="1"/>
    </row>
    <row r="65" spans="1:19" x14ac:dyDescent="0.3">
      <c r="A65" t="s">
        <v>275</v>
      </c>
      <c r="B65" t="s">
        <v>21</v>
      </c>
      <c r="C65" t="s">
        <v>22</v>
      </c>
      <c r="D65" t="s">
        <v>276</v>
      </c>
      <c r="E65" t="s">
        <v>277</v>
      </c>
      <c r="F65" t="s">
        <v>279</v>
      </c>
      <c r="G65" t="s">
        <v>280</v>
      </c>
      <c r="H65">
        <v>30</v>
      </c>
      <c r="I65">
        <v>12</v>
      </c>
      <c r="J65">
        <v>6</v>
      </c>
      <c r="K65">
        <v>0</v>
      </c>
      <c r="L65">
        <v>0</v>
      </c>
      <c r="M65" s="16">
        <v>5</v>
      </c>
      <c r="O65">
        <v>21</v>
      </c>
      <c r="R65">
        <v>16</v>
      </c>
      <c r="S65" s="1"/>
    </row>
    <row r="66" spans="1:19" x14ac:dyDescent="0.3">
      <c r="A66" t="s">
        <v>275</v>
      </c>
      <c r="B66" t="s">
        <v>21</v>
      </c>
      <c r="C66" t="s">
        <v>22</v>
      </c>
      <c r="D66" t="s">
        <v>276</v>
      </c>
      <c r="E66" t="s">
        <v>277</v>
      </c>
      <c r="F66" t="s">
        <v>279</v>
      </c>
      <c r="G66" t="s">
        <v>281</v>
      </c>
      <c r="H66">
        <v>50</v>
      </c>
      <c r="I66">
        <v>20</v>
      </c>
      <c r="J66">
        <v>10</v>
      </c>
      <c r="K66">
        <v>0</v>
      </c>
      <c r="L66">
        <v>0</v>
      </c>
      <c r="M66" s="16">
        <v>5</v>
      </c>
      <c r="O66">
        <v>21</v>
      </c>
      <c r="R66">
        <v>16</v>
      </c>
      <c r="S66" s="1"/>
    </row>
    <row r="67" spans="1:19" x14ac:dyDescent="0.3">
      <c r="A67" t="s">
        <v>275</v>
      </c>
      <c r="B67" t="s">
        <v>21</v>
      </c>
      <c r="C67" t="s">
        <v>22</v>
      </c>
      <c r="D67" t="s">
        <v>276</v>
      </c>
      <c r="E67" t="s">
        <v>277</v>
      </c>
      <c r="F67" t="s">
        <v>279</v>
      </c>
      <c r="G67" t="s">
        <v>282</v>
      </c>
      <c r="H67">
        <v>30</v>
      </c>
      <c r="I67">
        <v>12</v>
      </c>
      <c r="J67">
        <v>6</v>
      </c>
      <c r="K67">
        <v>0</v>
      </c>
      <c r="L67">
        <v>0</v>
      </c>
      <c r="M67" s="16">
        <v>5</v>
      </c>
      <c r="N67" s="3">
        <v>10</v>
      </c>
      <c r="O67">
        <v>3</v>
      </c>
      <c r="R67">
        <v>11</v>
      </c>
      <c r="S67" s="1"/>
    </row>
    <row r="68" spans="1:19" x14ac:dyDescent="0.3">
      <c r="A68" t="s">
        <v>283</v>
      </c>
      <c r="B68" t="s">
        <v>28</v>
      </c>
      <c r="C68" t="s">
        <v>22</v>
      </c>
      <c r="D68" s="18" t="s">
        <v>284</v>
      </c>
      <c r="E68" s="10" t="s">
        <v>285</v>
      </c>
      <c r="F68" t="s">
        <v>32</v>
      </c>
      <c r="G68" t="s">
        <v>286</v>
      </c>
      <c r="H68">
        <v>10</v>
      </c>
      <c r="I68">
        <v>4</v>
      </c>
      <c r="J68">
        <v>2</v>
      </c>
      <c r="K68">
        <v>0</v>
      </c>
      <c r="L68">
        <v>0</v>
      </c>
      <c r="M68" s="3">
        <v>12</v>
      </c>
    </row>
    <row r="69" spans="1:19" x14ac:dyDescent="0.3">
      <c r="A69" t="s">
        <v>287</v>
      </c>
      <c r="B69" t="s">
        <v>21</v>
      </c>
      <c r="C69" t="s">
        <v>29</v>
      </c>
      <c r="D69" s="18" t="s">
        <v>288</v>
      </c>
      <c r="E69" s="10" t="s">
        <v>289</v>
      </c>
      <c r="F69" t="s">
        <v>25</v>
      </c>
      <c r="G69" t="s">
        <v>290</v>
      </c>
      <c r="H69">
        <v>20</v>
      </c>
      <c r="I69">
        <v>0</v>
      </c>
      <c r="J69">
        <v>0</v>
      </c>
      <c r="K69">
        <v>0</v>
      </c>
      <c r="L69">
        <v>0</v>
      </c>
      <c r="M69" s="3">
        <v>7</v>
      </c>
    </row>
    <row r="70" spans="1:19" x14ac:dyDescent="0.3">
      <c r="A70" t="s">
        <v>295</v>
      </c>
      <c r="B70" t="s">
        <v>28</v>
      </c>
      <c r="C70" t="s">
        <v>29</v>
      </c>
      <c r="D70" s="18" t="s">
        <v>296</v>
      </c>
      <c r="E70" s="10" t="s">
        <v>297</v>
      </c>
    </row>
    <row r="71" spans="1:19" x14ac:dyDescent="0.3">
      <c r="A71" t="s">
        <v>298</v>
      </c>
      <c r="B71" t="s">
        <v>21</v>
      </c>
      <c r="C71" t="s">
        <v>22</v>
      </c>
      <c r="D71" t="s">
        <v>299</v>
      </c>
      <c r="E71" t="s">
        <v>300</v>
      </c>
      <c r="F71" t="s">
        <v>301</v>
      </c>
      <c r="G71" t="s">
        <v>302</v>
      </c>
      <c r="H71">
        <v>20</v>
      </c>
      <c r="I71">
        <v>0</v>
      </c>
      <c r="J71">
        <v>0</v>
      </c>
      <c r="K71">
        <v>0</v>
      </c>
      <c r="L71">
        <v>0</v>
      </c>
      <c r="M71" s="16">
        <v>5</v>
      </c>
      <c r="O71">
        <v>7.5</v>
      </c>
      <c r="P71">
        <v>4.5</v>
      </c>
      <c r="Q71">
        <v>7</v>
      </c>
      <c r="R71">
        <v>2</v>
      </c>
      <c r="S71" s="1"/>
    </row>
    <row r="72" spans="1:19" x14ac:dyDescent="0.3">
      <c r="A72" t="s">
        <v>303</v>
      </c>
      <c r="B72" t="s">
        <v>21</v>
      </c>
      <c r="C72" t="s">
        <v>29</v>
      </c>
      <c r="D72" t="s">
        <v>304</v>
      </c>
      <c r="E72" t="s">
        <v>305</v>
      </c>
      <c r="F72" t="s">
        <v>306</v>
      </c>
      <c r="G72" t="s">
        <v>307</v>
      </c>
      <c r="H72">
        <v>30</v>
      </c>
      <c r="I72">
        <v>12</v>
      </c>
      <c r="J72">
        <v>6</v>
      </c>
      <c r="K72">
        <v>0</v>
      </c>
      <c r="L72">
        <v>4</v>
      </c>
      <c r="M72" s="3">
        <v>10</v>
      </c>
      <c r="O72">
        <v>12</v>
      </c>
      <c r="P72">
        <v>7</v>
      </c>
      <c r="Q72">
        <v>11.5</v>
      </c>
      <c r="R72">
        <v>7</v>
      </c>
      <c r="S72" s="1"/>
    </row>
    <row r="73" spans="1:19" x14ac:dyDescent="0.3">
      <c r="A73" s="6" t="s">
        <v>312</v>
      </c>
      <c r="B73" t="s">
        <v>21</v>
      </c>
      <c r="C73" t="s">
        <v>22</v>
      </c>
      <c r="D73" t="s">
        <v>313</v>
      </c>
      <c r="E73" t="s">
        <v>314</v>
      </c>
      <c r="F73" t="s">
        <v>315</v>
      </c>
      <c r="G73" t="s">
        <v>316</v>
      </c>
      <c r="H73">
        <v>50</v>
      </c>
      <c r="I73">
        <v>17</v>
      </c>
      <c r="J73">
        <v>6</v>
      </c>
      <c r="K73">
        <v>0</v>
      </c>
      <c r="L73">
        <v>2</v>
      </c>
      <c r="O73" s="1">
        <v>4.5</v>
      </c>
      <c r="P73" s="1"/>
      <c r="Q73" s="1"/>
      <c r="R73" s="1">
        <v>13.75</v>
      </c>
      <c r="S73" s="1"/>
    </row>
    <row r="74" spans="1:19" x14ac:dyDescent="0.3">
      <c r="A74" t="s">
        <v>317</v>
      </c>
      <c r="B74" t="s">
        <v>21</v>
      </c>
      <c r="C74" t="s">
        <v>22</v>
      </c>
      <c r="D74" t="s">
        <v>318</v>
      </c>
      <c r="E74" t="s">
        <v>319</v>
      </c>
      <c r="F74" t="s">
        <v>320</v>
      </c>
      <c r="G74" t="s">
        <v>321</v>
      </c>
      <c r="H74">
        <v>28</v>
      </c>
      <c r="I74">
        <v>28</v>
      </c>
      <c r="J74">
        <v>10</v>
      </c>
      <c r="K74">
        <v>4</v>
      </c>
      <c r="L74">
        <v>3</v>
      </c>
      <c r="O74">
        <v>17</v>
      </c>
      <c r="R74">
        <v>9</v>
      </c>
      <c r="S74" s="1"/>
    </row>
    <row r="75" spans="1:19" x14ac:dyDescent="0.3">
      <c r="A75" t="s">
        <v>317</v>
      </c>
      <c r="B75" t="s">
        <v>21</v>
      </c>
      <c r="C75" t="s">
        <v>22</v>
      </c>
      <c r="D75" t="s">
        <v>318</v>
      </c>
      <c r="E75" t="s">
        <v>319</v>
      </c>
      <c r="F75" t="s">
        <v>320</v>
      </c>
      <c r="G75" t="s">
        <v>242</v>
      </c>
      <c r="H75">
        <v>40</v>
      </c>
      <c r="I75">
        <v>17</v>
      </c>
      <c r="J75">
        <v>3</v>
      </c>
      <c r="K75">
        <v>0</v>
      </c>
      <c r="L75">
        <v>0</v>
      </c>
      <c r="O75">
        <v>33</v>
      </c>
      <c r="R75">
        <v>25</v>
      </c>
      <c r="S75" s="1"/>
    </row>
    <row r="76" spans="1:19" x14ac:dyDescent="0.3">
      <c r="A76" t="s">
        <v>322</v>
      </c>
      <c r="B76" t="s">
        <v>21</v>
      </c>
      <c r="D76" s="10" t="s">
        <v>323</v>
      </c>
      <c r="E76" s="10" t="s">
        <v>324</v>
      </c>
      <c r="F76" t="s">
        <v>32</v>
      </c>
      <c r="G76" t="s">
        <v>518</v>
      </c>
      <c r="H76">
        <v>12</v>
      </c>
      <c r="I76">
        <v>4</v>
      </c>
      <c r="J76">
        <v>2</v>
      </c>
      <c r="K76">
        <v>0</v>
      </c>
      <c r="L76">
        <v>0</v>
      </c>
      <c r="O76">
        <v>18</v>
      </c>
      <c r="P76">
        <v>10</v>
      </c>
      <c r="Q76">
        <v>17.5</v>
      </c>
      <c r="R76">
        <v>10.5</v>
      </c>
    </row>
    <row r="77" spans="1:19" x14ac:dyDescent="0.3">
      <c r="A77" t="s">
        <v>322</v>
      </c>
      <c r="B77" t="s">
        <v>21</v>
      </c>
      <c r="D77" s="10" t="s">
        <v>323</v>
      </c>
      <c r="E77" s="10" t="s">
        <v>324</v>
      </c>
      <c r="F77" t="s">
        <v>32</v>
      </c>
      <c r="G77" t="s">
        <v>86</v>
      </c>
      <c r="H77">
        <v>31</v>
      </c>
      <c r="I77">
        <v>14</v>
      </c>
      <c r="J77">
        <v>2</v>
      </c>
      <c r="K77">
        <v>0</v>
      </c>
      <c r="L77">
        <v>0</v>
      </c>
      <c r="O77">
        <v>23</v>
      </c>
      <c r="P77">
        <v>16</v>
      </c>
      <c r="Q77">
        <v>22.5</v>
      </c>
      <c r="R77">
        <v>17.5</v>
      </c>
    </row>
    <row r="78" spans="1:19" x14ac:dyDescent="0.3">
      <c r="A78" t="s">
        <v>330</v>
      </c>
      <c r="B78" t="s">
        <v>53</v>
      </c>
      <c r="C78" t="s">
        <v>29</v>
      </c>
      <c r="D78" t="s">
        <v>331</v>
      </c>
      <c r="E78" t="s">
        <v>332</v>
      </c>
      <c r="F78" t="s">
        <v>56</v>
      </c>
      <c r="G78" t="s">
        <v>519</v>
      </c>
      <c r="H78">
        <v>15</v>
      </c>
      <c r="I78">
        <v>0</v>
      </c>
      <c r="J78">
        <v>0</v>
      </c>
      <c r="K78">
        <v>0</v>
      </c>
      <c r="L78">
        <v>0</v>
      </c>
      <c r="O78">
        <v>5.5</v>
      </c>
      <c r="P78">
        <v>9</v>
      </c>
      <c r="Q78">
        <v>1</v>
      </c>
      <c r="R78">
        <v>6</v>
      </c>
    </row>
    <row r="79" spans="1:19" x14ac:dyDescent="0.3">
      <c r="A79" t="s">
        <v>330</v>
      </c>
      <c r="B79" t="s">
        <v>53</v>
      </c>
      <c r="C79" t="s">
        <v>29</v>
      </c>
      <c r="D79" t="s">
        <v>331</v>
      </c>
      <c r="E79" t="s">
        <v>332</v>
      </c>
      <c r="F79" t="s">
        <v>56</v>
      </c>
      <c r="G79" t="s">
        <v>333</v>
      </c>
      <c r="H79">
        <v>15</v>
      </c>
      <c r="I79">
        <v>0</v>
      </c>
      <c r="J79">
        <v>0</v>
      </c>
      <c r="K79">
        <v>0</v>
      </c>
      <c r="L79">
        <v>0</v>
      </c>
      <c r="O79">
        <v>6.5</v>
      </c>
      <c r="P79">
        <v>6.5</v>
      </c>
      <c r="Q79">
        <v>2</v>
      </c>
      <c r="R79">
        <v>4</v>
      </c>
      <c r="S79" s="1"/>
    </row>
    <row r="80" spans="1:19" x14ac:dyDescent="0.3">
      <c r="A80" t="s">
        <v>330</v>
      </c>
      <c r="B80" t="s">
        <v>53</v>
      </c>
      <c r="C80" t="s">
        <v>29</v>
      </c>
      <c r="D80" t="s">
        <v>331</v>
      </c>
      <c r="E80" t="s">
        <v>332</v>
      </c>
      <c r="F80" t="s">
        <v>56</v>
      </c>
      <c r="G80" t="s">
        <v>26</v>
      </c>
      <c r="H80">
        <v>25</v>
      </c>
      <c r="I80">
        <v>0</v>
      </c>
      <c r="J80">
        <v>0</v>
      </c>
      <c r="K80">
        <v>0</v>
      </c>
      <c r="L80">
        <v>0</v>
      </c>
      <c r="O80">
        <v>7.5</v>
      </c>
      <c r="P80">
        <v>2</v>
      </c>
      <c r="Q80">
        <v>9.5</v>
      </c>
      <c r="R80">
        <v>3</v>
      </c>
      <c r="S80" s="1"/>
    </row>
    <row r="81" spans="1:19" x14ac:dyDescent="0.3">
      <c r="A81" t="s">
        <v>330</v>
      </c>
      <c r="B81" t="s">
        <v>53</v>
      </c>
      <c r="C81" t="s">
        <v>29</v>
      </c>
      <c r="D81" t="s">
        <v>331</v>
      </c>
      <c r="E81" t="s">
        <v>332</v>
      </c>
      <c r="F81" t="s">
        <v>56</v>
      </c>
      <c r="G81" t="s">
        <v>268</v>
      </c>
      <c r="H81">
        <v>25</v>
      </c>
      <c r="I81">
        <v>0</v>
      </c>
      <c r="J81">
        <v>0</v>
      </c>
      <c r="K81">
        <v>0</v>
      </c>
      <c r="L81">
        <v>0</v>
      </c>
      <c r="O81">
        <v>7.5</v>
      </c>
      <c r="P81">
        <v>4</v>
      </c>
      <c r="Q81">
        <v>9.5</v>
      </c>
      <c r="R81">
        <v>3</v>
      </c>
      <c r="S81" s="1"/>
    </row>
    <row r="82" spans="1:19" x14ac:dyDescent="0.3">
      <c r="A82" t="s">
        <v>330</v>
      </c>
      <c r="B82" t="s">
        <v>53</v>
      </c>
      <c r="C82" t="s">
        <v>29</v>
      </c>
      <c r="D82" t="s">
        <v>331</v>
      </c>
      <c r="E82" t="s">
        <v>332</v>
      </c>
      <c r="F82" t="s">
        <v>56</v>
      </c>
      <c r="G82" t="s">
        <v>336</v>
      </c>
      <c r="H82">
        <v>25</v>
      </c>
      <c r="I82">
        <v>0</v>
      </c>
      <c r="J82">
        <v>0</v>
      </c>
      <c r="K82">
        <v>0</v>
      </c>
      <c r="L82">
        <v>0</v>
      </c>
      <c r="O82">
        <v>7.5</v>
      </c>
      <c r="P82">
        <v>4</v>
      </c>
      <c r="Q82">
        <v>9.5</v>
      </c>
      <c r="R82">
        <v>3</v>
      </c>
      <c r="S82" s="1"/>
    </row>
    <row r="83" spans="1:19" x14ac:dyDescent="0.3">
      <c r="A83" t="s">
        <v>337</v>
      </c>
      <c r="D83" s="18"/>
      <c r="E83" s="10"/>
    </row>
    <row r="84" spans="1:19" x14ac:dyDescent="0.3">
      <c r="A84" t="s">
        <v>342</v>
      </c>
      <c r="B84" t="s">
        <v>53</v>
      </c>
      <c r="C84" t="s">
        <v>29</v>
      </c>
      <c r="D84" s="18" t="s">
        <v>343</v>
      </c>
      <c r="E84" s="10" t="s">
        <v>344</v>
      </c>
      <c r="F84" t="s">
        <v>56</v>
      </c>
      <c r="G84" t="s">
        <v>321</v>
      </c>
      <c r="H84">
        <v>150</v>
      </c>
      <c r="I84">
        <v>0</v>
      </c>
      <c r="J84">
        <v>0</v>
      </c>
      <c r="K84">
        <v>0</v>
      </c>
      <c r="L84">
        <v>0</v>
      </c>
    </row>
    <row r="85" spans="1:19" x14ac:dyDescent="0.3">
      <c r="A85" t="s">
        <v>345</v>
      </c>
      <c r="B85" t="s">
        <v>53</v>
      </c>
      <c r="C85" t="s">
        <v>22</v>
      </c>
      <c r="D85" t="s">
        <v>346</v>
      </c>
      <c r="E85" t="s">
        <v>347</v>
      </c>
      <c r="F85" t="s">
        <v>56</v>
      </c>
      <c r="G85" t="s">
        <v>348</v>
      </c>
      <c r="H85">
        <v>10</v>
      </c>
      <c r="I85">
        <v>2</v>
      </c>
      <c r="J85">
        <v>0</v>
      </c>
      <c r="K85">
        <v>0</v>
      </c>
      <c r="L85">
        <v>0</v>
      </c>
      <c r="O85">
        <v>7</v>
      </c>
      <c r="P85">
        <v>3.5</v>
      </c>
      <c r="Q85">
        <v>6.5</v>
      </c>
      <c r="R85">
        <v>1</v>
      </c>
      <c r="S85" s="1"/>
    </row>
    <row r="86" spans="1:19" x14ac:dyDescent="0.3">
      <c r="A86" t="s">
        <v>349</v>
      </c>
      <c r="B86" t="s">
        <v>21</v>
      </c>
      <c r="C86" t="s">
        <v>29</v>
      </c>
      <c r="D86" t="s">
        <v>350</v>
      </c>
      <c r="E86" t="s">
        <v>351</v>
      </c>
      <c r="F86" t="s">
        <v>92</v>
      </c>
      <c r="G86" t="s">
        <v>352</v>
      </c>
      <c r="H86">
        <v>50</v>
      </c>
      <c r="I86">
        <v>10</v>
      </c>
      <c r="J86">
        <v>4</v>
      </c>
      <c r="K86">
        <v>0</v>
      </c>
      <c r="L86">
        <v>0</v>
      </c>
      <c r="O86">
        <v>13</v>
      </c>
      <c r="R86">
        <v>8</v>
      </c>
      <c r="S86" s="1"/>
    </row>
    <row r="87" spans="1:19" x14ac:dyDescent="0.3">
      <c r="A87" t="s">
        <v>349</v>
      </c>
      <c r="B87" t="s">
        <v>21</v>
      </c>
      <c r="C87" t="s">
        <v>29</v>
      </c>
      <c r="D87" t="s">
        <v>350</v>
      </c>
      <c r="E87" t="s">
        <v>351</v>
      </c>
      <c r="F87" t="s">
        <v>92</v>
      </c>
      <c r="G87" t="s">
        <v>254</v>
      </c>
      <c r="H87">
        <v>30</v>
      </c>
      <c r="I87">
        <v>6</v>
      </c>
      <c r="J87">
        <v>0</v>
      </c>
      <c r="K87">
        <v>0</v>
      </c>
      <c r="L87">
        <v>0</v>
      </c>
      <c r="O87">
        <v>19</v>
      </c>
      <c r="R87">
        <v>14</v>
      </c>
      <c r="S87" s="1"/>
    </row>
    <row r="88" spans="1:19" x14ac:dyDescent="0.3">
      <c r="A88" t="s">
        <v>349</v>
      </c>
      <c r="B88" t="s">
        <v>21</v>
      </c>
      <c r="C88" t="s">
        <v>29</v>
      </c>
      <c r="D88" t="s">
        <v>350</v>
      </c>
      <c r="E88" t="s">
        <v>351</v>
      </c>
      <c r="F88" t="s">
        <v>92</v>
      </c>
      <c r="G88" t="s">
        <v>353</v>
      </c>
      <c r="H88">
        <v>30</v>
      </c>
      <c r="I88">
        <v>8</v>
      </c>
      <c r="J88">
        <v>3</v>
      </c>
      <c r="K88">
        <v>0</v>
      </c>
      <c r="L88">
        <v>0</v>
      </c>
      <c r="O88">
        <v>21</v>
      </c>
      <c r="R88">
        <v>16</v>
      </c>
      <c r="S88" s="1"/>
    </row>
    <row r="89" spans="1:19" x14ac:dyDescent="0.3">
      <c r="A89" t="s">
        <v>349</v>
      </c>
      <c r="B89" t="s">
        <v>21</v>
      </c>
      <c r="C89" t="s">
        <v>29</v>
      </c>
      <c r="D89" t="s">
        <v>350</v>
      </c>
      <c r="E89" t="s">
        <v>351</v>
      </c>
      <c r="F89" t="s">
        <v>92</v>
      </c>
      <c r="G89" t="s">
        <v>354</v>
      </c>
      <c r="H89">
        <v>32</v>
      </c>
      <c r="I89">
        <v>7</v>
      </c>
      <c r="J89">
        <v>3</v>
      </c>
      <c r="K89">
        <v>0</v>
      </c>
      <c r="L89">
        <v>0</v>
      </c>
      <c r="O89">
        <v>29</v>
      </c>
      <c r="R89">
        <v>20</v>
      </c>
      <c r="S89" s="1"/>
    </row>
    <row r="90" spans="1:19" x14ac:dyDescent="0.3">
      <c r="A90" t="s">
        <v>349</v>
      </c>
      <c r="B90" t="s">
        <v>21</v>
      </c>
      <c r="C90" t="s">
        <v>29</v>
      </c>
      <c r="D90" t="s">
        <v>350</v>
      </c>
      <c r="E90" t="s">
        <v>351</v>
      </c>
      <c r="F90" t="s">
        <v>92</v>
      </c>
      <c r="G90" t="s">
        <v>86</v>
      </c>
      <c r="H90">
        <v>26</v>
      </c>
      <c r="I90">
        <v>10</v>
      </c>
      <c r="J90">
        <v>2</v>
      </c>
      <c r="K90">
        <v>0</v>
      </c>
      <c r="L90">
        <v>0</v>
      </c>
      <c r="O90">
        <v>33</v>
      </c>
      <c r="R90">
        <v>24</v>
      </c>
      <c r="S90" s="1"/>
    </row>
    <row r="91" spans="1:19" x14ac:dyDescent="0.3">
      <c r="A91" t="s">
        <v>355</v>
      </c>
      <c r="B91" t="s">
        <v>53</v>
      </c>
      <c r="C91" t="s">
        <v>29</v>
      </c>
      <c r="D91" t="s">
        <v>356</v>
      </c>
      <c r="E91" t="s">
        <v>357</v>
      </c>
      <c r="F91" t="s">
        <v>56</v>
      </c>
      <c r="G91" t="s">
        <v>358</v>
      </c>
      <c r="H91">
        <v>6</v>
      </c>
      <c r="I91">
        <v>0</v>
      </c>
      <c r="J91">
        <v>0</v>
      </c>
      <c r="K91">
        <v>0</v>
      </c>
      <c r="L91">
        <v>0</v>
      </c>
      <c r="O91">
        <v>6</v>
      </c>
      <c r="R91">
        <v>16</v>
      </c>
      <c r="S91" s="1"/>
    </row>
    <row r="92" spans="1:19" x14ac:dyDescent="0.3">
      <c r="A92" t="s">
        <v>359</v>
      </c>
      <c r="B92" t="s">
        <v>21</v>
      </c>
      <c r="C92" t="s">
        <v>22</v>
      </c>
      <c r="D92" t="s">
        <v>360</v>
      </c>
      <c r="E92" t="s">
        <v>361</v>
      </c>
      <c r="F92" t="s">
        <v>142</v>
      </c>
      <c r="G92" t="s">
        <v>362</v>
      </c>
      <c r="H92">
        <v>22</v>
      </c>
      <c r="I92">
        <v>7</v>
      </c>
      <c r="J92">
        <v>3</v>
      </c>
      <c r="K92">
        <v>5</v>
      </c>
      <c r="L92">
        <v>0</v>
      </c>
      <c r="O92">
        <v>6.5</v>
      </c>
      <c r="P92">
        <v>6</v>
      </c>
      <c r="Q92">
        <v>3</v>
      </c>
      <c r="R92">
        <v>4</v>
      </c>
      <c r="S92" s="1"/>
    </row>
    <row r="93" spans="1:19" x14ac:dyDescent="0.3">
      <c r="A93" t="s">
        <v>363</v>
      </c>
      <c r="B93" t="s">
        <v>28</v>
      </c>
      <c r="C93" t="s">
        <v>22</v>
      </c>
      <c r="D93" t="s">
        <v>364</v>
      </c>
      <c r="E93" t="s">
        <v>365</v>
      </c>
      <c r="F93" t="s">
        <v>92</v>
      </c>
      <c r="G93" t="s">
        <v>366</v>
      </c>
      <c r="H93">
        <v>12</v>
      </c>
      <c r="I93">
        <v>4</v>
      </c>
      <c r="J93">
        <v>2</v>
      </c>
      <c r="K93">
        <v>2</v>
      </c>
      <c r="L93">
        <v>0</v>
      </c>
      <c r="M93" s="3">
        <v>8</v>
      </c>
      <c r="O93">
        <v>6</v>
      </c>
      <c r="R93">
        <v>13</v>
      </c>
      <c r="S93" s="1"/>
    </row>
    <row r="94" spans="1:19" x14ac:dyDescent="0.3">
      <c r="A94" t="s">
        <v>367</v>
      </c>
      <c r="B94" t="s">
        <v>53</v>
      </c>
      <c r="C94" t="s">
        <v>29</v>
      </c>
      <c r="D94" t="s">
        <v>368</v>
      </c>
      <c r="E94" t="s">
        <v>369</v>
      </c>
      <c r="F94" t="s">
        <v>56</v>
      </c>
      <c r="G94" t="s">
        <v>370</v>
      </c>
      <c r="H94">
        <v>10</v>
      </c>
      <c r="I94">
        <v>0</v>
      </c>
      <c r="J94">
        <v>0</v>
      </c>
      <c r="K94">
        <v>0</v>
      </c>
      <c r="L94">
        <v>0</v>
      </c>
      <c r="O94">
        <v>11</v>
      </c>
      <c r="R94">
        <v>0</v>
      </c>
      <c r="S94" s="1"/>
    </row>
    <row r="95" spans="1:19" x14ac:dyDescent="0.3">
      <c r="A95" t="s">
        <v>371</v>
      </c>
      <c r="B95" t="s">
        <v>21</v>
      </c>
      <c r="C95" t="s">
        <v>22</v>
      </c>
      <c r="D95" t="s">
        <v>372</v>
      </c>
      <c r="E95" t="s">
        <v>373</v>
      </c>
      <c r="F95" t="s">
        <v>374</v>
      </c>
      <c r="G95" t="s">
        <v>192</v>
      </c>
      <c r="H95">
        <v>25</v>
      </c>
      <c r="I95">
        <v>8</v>
      </c>
      <c r="J95">
        <v>4</v>
      </c>
      <c r="K95">
        <v>0</v>
      </c>
      <c r="L95">
        <v>0</v>
      </c>
      <c r="N95" s="3">
        <v>7</v>
      </c>
      <c r="O95">
        <v>14</v>
      </c>
      <c r="R95">
        <v>8</v>
      </c>
      <c r="S95" s="1"/>
    </row>
    <row r="96" spans="1:19" x14ac:dyDescent="0.3">
      <c r="A96" t="s">
        <v>375</v>
      </c>
      <c r="B96" t="s">
        <v>21</v>
      </c>
      <c r="C96" t="s">
        <v>22</v>
      </c>
      <c r="D96" t="s">
        <v>376</v>
      </c>
      <c r="E96" t="s">
        <v>377</v>
      </c>
      <c r="F96" t="s">
        <v>137</v>
      </c>
      <c r="G96" t="s">
        <v>378</v>
      </c>
      <c r="H96">
        <v>120</v>
      </c>
      <c r="I96">
        <v>38</v>
      </c>
      <c r="J96">
        <v>16</v>
      </c>
      <c r="K96">
        <v>0</v>
      </c>
      <c r="L96">
        <v>4</v>
      </c>
      <c r="O96">
        <v>15</v>
      </c>
      <c r="R96">
        <v>10</v>
      </c>
      <c r="S96" s="1"/>
    </row>
    <row r="97" spans="1:19" x14ac:dyDescent="0.3">
      <c r="A97" t="s">
        <v>375</v>
      </c>
      <c r="B97" t="s">
        <v>21</v>
      </c>
      <c r="C97" t="s">
        <v>22</v>
      </c>
      <c r="D97" t="s">
        <v>376</v>
      </c>
      <c r="E97" t="s">
        <v>377</v>
      </c>
      <c r="F97" t="s">
        <v>137</v>
      </c>
      <c r="G97" t="s">
        <v>379</v>
      </c>
      <c r="H97">
        <v>8</v>
      </c>
      <c r="I97">
        <v>2</v>
      </c>
      <c r="J97">
        <v>2</v>
      </c>
      <c r="K97">
        <v>2</v>
      </c>
      <c r="L97">
        <v>2</v>
      </c>
      <c r="O97">
        <v>19</v>
      </c>
      <c r="R97">
        <v>20</v>
      </c>
      <c r="S97" s="1"/>
    </row>
    <row r="98" spans="1:19" x14ac:dyDescent="0.3">
      <c r="A98" s="2" t="s">
        <v>375</v>
      </c>
      <c r="B98" t="s">
        <v>21</v>
      </c>
      <c r="C98" t="s">
        <v>22</v>
      </c>
      <c r="D98" t="s">
        <v>376</v>
      </c>
      <c r="E98" t="s">
        <v>377</v>
      </c>
      <c r="F98" t="s">
        <v>137</v>
      </c>
      <c r="G98" t="s">
        <v>380</v>
      </c>
      <c r="H98">
        <v>8</v>
      </c>
      <c r="I98">
        <v>3</v>
      </c>
      <c r="J98">
        <v>1</v>
      </c>
      <c r="K98">
        <v>2</v>
      </c>
      <c r="L98">
        <v>0</v>
      </c>
      <c r="O98">
        <v>23</v>
      </c>
      <c r="R98">
        <v>13</v>
      </c>
      <c r="S98" s="1"/>
    </row>
    <row r="99" spans="1:19" x14ac:dyDescent="0.3">
      <c r="A99" s="2" t="s">
        <v>381</v>
      </c>
      <c r="B99" t="s">
        <v>21</v>
      </c>
      <c r="C99" t="s">
        <v>22</v>
      </c>
      <c r="D99" t="s">
        <v>382</v>
      </c>
      <c r="E99" t="s">
        <v>383</v>
      </c>
      <c r="F99" t="s">
        <v>142</v>
      </c>
      <c r="G99" t="s">
        <v>225</v>
      </c>
      <c r="H99">
        <v>33</v>
      </c>
      <c r="I99">
        <v>10</v>
      </c>
      <c r="J99">
        <v>5</v>
      </c>
      <c r="K99">
        <v>3</v>
      </c>
      <c r="L99">
        <v>1</v>
      </c>
      <c r="N99" s="3">
        <v>10</v>
      </c>
      <c r="O99">
        <v>20</v>
      </c>
      <c r="R99">
        <v>9</v>
      </c>
      <c r="S99" s="1"/>
    </row>
    <row r="100" spans="1:19" x14ac:dyDescent="0.3">
      <c r="A100" t="s">
        <v>384</v>
      </c>
      <c r="B100" t="s">
        <v>53</v>
      </c>
      <c r="C100" t="s">
        <v>22</v>
      </c>
      <c r="D100" t="s">
        <v>385</v>
      </c>
      <c r="E100" t="s">
        <v>386</v>
      </c>
      <c r="F100" t="s">
        <v>56</v>
      </c>
      <c r="G100" t="s">
        <v>387</v>
      </c>
      <c r="H100">
        <v>24</v>
      </c>
      <c r="I100">
        <v>0</v>
      </c>
      <c r="J100">
        <v>0</v>
      </c>
      <c r="K100">
        <v>0</v>
      </c>
      <c r="L100">
        <v>0</v>
      </c>
      <c r="O100">
        <v>6</v>
      </c>
      <c r="R100">
        <v>13</v>
      </c>
      <c r="S100" s="1"/>
    </row>
    <row r="101" spans="1:19" x14ac:dyDescent="0.3">
      <c r="A101" t="s">
        <v>388</v>
      </c>
      <c r="B101" t="s">
        <v>21</v>
      </c>
      <c r="C101" t="s">
        <v>29</v>
      </c>
      <c r="D101" t="s">
        <v>389</v>
      </c>
      <c r="E101" t="s">
        <v>390</v>
      </c>
      <c r="F101" t="s">
        <v>266</v>
      </c>
      <c r="G101" t="s">
        <v>73</v>
      </c>
      <c r="H101">
        <v>80</v>
      </c>
      <c r="I101">
        <v>30</v>
      </c>
      <c r="J101">
        <v>10</v>
      </c>
      <c r="K101">
        <v>0</v>
      </c>
      <c r="L101">
        <v>6</v>
      </c>
      <c r="O101">
        <v>9</v>
      </c>
      <c r="R101">
        <v>3</v>
      </c>
      <c r="S101" s="1"/>
    </row>
    <row r="102" spans="1:19" x14ac:dyDescent="0.3">
      <c r="A102" t="s">
        <v>388</v>
      </c>
      <c r="B102" t="s">
        <v>21</v>
      </c>
      <c r="C102" t="s">
        <v>29</v>
      </c>
      <c r="D102" t="s">
        <v>389</v>
      </c>
      <c r="E102" t="s">
        <v>390</v>
      </c>
      <c r="F102" t="s">
        <v>266</v>
      </c>
      <c r="G102" t="s">
        <v>391</v>
      </c>
      <c r="H102">
        <v>200</v>
      </c>
      <c r="I102">
        <v>73</v>
      </c>
      <c r="J102">
        <v>28</v>
      </c>
      <c r="K102">
        <v>0</v>
      </c>
      <c r="L102">
        <v>10</v>
      </c>
      <c r="O102">
        <v>9</v>
      </c>
      <c r="R102">
        <v>3</v>
      </c>
      <c r="S102" s="1"/>
    </row>
    <row r="103" spans="1:19" x14ac:dyDescent="0.3">
      <c r="A103" t="s">
        <v>392</v>
      </c>
      <c r="B103" t="s">
        <v>21</v>
      </c>
      <c r="D103" s="18" t="s">
        <v>393</v>
      </c>
      <c r="E103" s="10" t="s">
        <v>394</v>
      </c>
      <c r="F103" t="s">
        <v>32</v>
      </c>
      <c r="G103" t="s">
        <v>395</v>
      </c>
      <c r="H103">
        <v>6</v>
      </c>
      <c r="I103">
        <v>2</v>
      </c>
      <c r="J103">
        <v>1</v>
      </c>
      <c r="K103">
        <v>2</v>
      </c>
      <c r="L103">
        <v>0</v>
      </c>
      <c r="M103" s="3">
        <v>9</v>
      </c>
    </row>
    <row r="104" spans="1:19" x14ac:dyDescent="0.3">
      <c r="A104" s="38" t="s">
        <v>396</v>
      </c>
      <c r="B104" t="s">
        <v>28</v>
      </c>
      <c r="C104" t="s">
        <v>22</v>
      </c>
      <c r="D104" s="18" t="s">
        <v>397</v>
      </c>
      <c r="E104" s="10" t="s">
        <v>398</v>
      </c>
      <c r="F104" t="s">
        <v>279</v>
      </c>
      <c r="G104" t="s">
        <v>399</v>
      </c>
      <c r="H104">
        <v>21</v>
      </c>
      <c r="I104">
        <v>8</v>
      </c>
      <c r="J104">
        <v>4</v>
      </c>
      <c r="K104">
        <v>0</v>
      </c>
      <c r="L104">
        <v>0</v>
      </c>
      <c r="M104" s="16">
        <v>6</v>
      </c>
    </row>
    <row r="105" spans="1:19" x14ac:dyDescent="0.3">
      <c r="A105" s="38" t="s">
        <v>396</v>
      </c>
      <c r="B105" t="s">
        <v>28</v>
      </c>
      <c r="C105" t="s">
        <v>22</v>
      </c>
      <c r="D105" s="18" t="s">
        <v>397</v>
      </c>
      <c r="E105" s="10" t="s">
        <v>398</v>
      </c>
      <c r="F105" t="s">
        <v>279</v>
      </c>
      <c r="G105" t="s">
        <v>400</v>
      </c>
      <c r="H105">
        <v>9</v>
      </c>
      <c r="I105">
        <v>4</v>
      </c>
      <c r="J105">
        <v>2</v>
      </c>
      <c r="K105">
        <v>0</v>
      </c>
      <c r="L105">
        <v>0</v>
      </c>
      <c r="M105" s="16">
        <v>6</v>
      </c>
    </row>
    <row r="106" spans="1:19" x14ac:dyDescent="0.3">
      <c r="A106" s="10" t="s">
        <v>396</v>
      </c>
      <c r="B106" t="s">
        <v>28</v>
      </c>
      <c r="C106" t="s">
        <v>22</v>
      </c>
      <c r="D106" s="18" t="s">
        <v>397</v>
      </c>
      <c r="E106" s="10" t="s">
        <v>398</v>
      </c>
      <c r="F106" t="s">
        <v>279</v>
      </c>
      <c r="G106" t="s">
        <v>400</v>
      </c>
      <c r="H106">
        <v>9</v>
      </c>
      <c r="I106">
        <v>4</v>
      </c>
      <c r="J106">
        <v>2</v>
      </c>
      <c r="K106">
        <v>0</v>
      </c>
      <c r="L106">
        <v>0</v>
      </c>
      <c r="M106" s="3">
        <v>9</v>
      </c>
    </row>
    <row r="107" spans="1:19" x14ac:dyDescent="0.3">
      <c r="A107" t="s">
        <v>512</v>
      </c>
      <c r="D107" s="10"/>
    </row>
    <row r="108" spans="1:19" x14ac:dyDescent="0.3">
      <c r="A108" t="s">
        <v>401</v>
      </c>
      <c r="B108" t="s">
        <v>21</v>
      </c>
      <c r="C108" t="s">
        <v>22</v>
      </c>
      <c r="D108" t="s">
        <v>402</v>
      </c>
      <c r="E108" t="s">
        <v>403</v>
      </c>
      <c r="F108" t="s">
        <v>266</v>
      </c>
      <c r="G108" t="s">
        <v>268</v>
      </c>
      <c r="H108">
        <v>22</v>
      </c>
      <c r="I108">
        <v>8</v>
      </c>
      <c r="J108">
        <v>4</v>
      </c>
      <c r="K108">
        <v>5</v>
      </c>
      <c r="L108">
        <v>0</v>
      </c>
      <c r="O108">
        <v>10</v>
      </c>
      <c r="R108">
        <v>4</v>
      </c>
      <c r="S108" s="1"/>
    </row>
    <row r="109" spans="1:19" x14ac:dyDescent="0.3">
      <c r="A109" t="s">
        <v>405</v>
      </c>
      <c r="B109" t="s">
        <v>21</v>
      </c>
      <c r="D109" t="s">
        <v>406</v>
      </c>
      <c r="E109" t="s">
        <v>407</v>
      </c>
      <c r="F109" t="s">
        <v>408</v>
      </c>
      <c r="G109" t="s">
        <v>409</v>
      </c>
      <c r="H109">
        <v>30</v>
      </c>
      <c r="I109">
        <v>10</v>
      </c>
      <c r="J109">
        <v>5</v>
      </c>
      <c r="K109">
        <v>0</v>
      </c>
      <c r="L109">
        <v>0</v>
      </c>
      <c r="O109">
        <v>10</v>
      </c>
      <c r="R109">
        <v>0</v>
      </c>
      <c r="S109" s="1"/>
    </row>
    <row r="110" spans="1:19" x14ac:dyDescent="0.3">
      <c r="A110" t="s">
        <v>405</v>
      </c>
      <c r="B110" t="s">
        <v>21</v>
      </c>
      <c r="D110" t="s">
        <v>406</v>
      </c>
      <c r="E110" t="s">
        <v>407</v>
      </c>
      <c r="F110" t="s">
        <v>408</v>
      </c>
      <c r="G110" t="s">
        <v>410</v>
      </c>
      <c r="H110">
        <v>40</v>
      </c>
      <c r="I110">
        <v>10</v>
      </c>
      <c r="J110">
        <v>10</v>
      </c>
      <c r="K110">
        <v>0</v>
      </c>
      <c r="L110">
        <v>0</v>
      </c>
      <c r="O110">
        <v>13</v>
      </c>
      <c r="R110">
        <v>12</v>
      </c>
      <c r="S110" s="1"/>
    </row>
    <row r="111" spans="1:19" x14ac:dyDescent="0.3">
      <c r="A111" t="s">
        <v>405</v>
      </c>
      <c r="B111" t="s">
        <v>21</v>
      </c>
      <c r="D111" t="s">
        <v>406</v>
      </c>
      <c r="E111" t="s">
        <v>407</v>
      </c>
      <c r="F111" t="s">
        <v>408</v>
      </c>
      <c r="G111" t="s">
        <v>192</v>
      </c>
      <c r="H111">
        <v>200</v>
      </c>
      <c r="I111">
        <v>70</v>
      </c>
      <c r="J111">
        <v>30</v>
      </c>
      <c r="K111">
        <v>0</v>
      </c>
      <c r="L111">
        <v>0</v>
      </c>
      <c r="O111">
        <v>14</v>
      </c>
      <c r="R111">
        <v>8</v>
      </c>
      <c r="S111" s="1"/>
    </row>
    <row r="112" spans="1:19" x14ac:dyDescent="0.3">
      <c r="A112" t="s">
        <v>405</v>
      </c>
      <c r="B112" t="s">
        <v>21</v>
      </c>
      <c r="D112" t="s">
        <v>406</v>
      </c>
      <c r="E112" t="s">
        <v>407</v>
      </c>
      <c r="F112" t="s">
        <v>408</v>
      </c>
      <c r="G112" t="s">
        <v>411</v>
      </c>
      <c r="H112">
        <v>100</v>
      </c>
      <c r="I112">
        <v>30</v>
      </c>
      <c r="J112">
        <v>20</v>
      </c>
      <c r="K112">
        <v>0</v>
      </c>
      <c r="L112">
        <v>0</v>
      </c>
      <c r="O112">
        <v>14</v>
      </c>
      <c r="R112">
        <v>10</v>
      </c>
      <c r="S112" s="1"/>
    </row>
    <row r="113" spans="1:19" x14ac:dyDescent="0.3">
      <c r="A113" t="s">
        <v>405</v>
      </c>
      <c r="B113" t="s">
        <v>21</v>
      </c>
      <c r="D113" t="s">
        <v>406</v>
      </c>
      <c r="E113" t="s">
        <v>407</v>
      </c>
      <c r="F113" t="s">
        <v>408</v>
      </c>
      <c r="G113" t="s">
        <v>321</v>
      </c>
      <c r="H113">
        <v>40</v>
      </c>
      <c r="I113">
        <v>20</v>
      </c>
      <c r="J113">
        <v>20</v>
      </c>
      <c r="K113">
        <v>0</v>
      </c>
      <c r="L113">
        <v>0</v>
      </c>
      <c r="O113">
        <v>16</v>
      </c>
      <c r="R113">
        <v>8</v>
      </c>
      <c r="S113" s="1"/>
    </row>
    <row r="114" spans="1:19" x14ac:dyDescent="0.3">
      <c r="A114" t="s">
        <v>405</v>
      </c>
      <c r="B114" t="s">
        <v>21</v>
      </c>
      <c r="D114" t="s">
        <v>406</v>
      </c>
      <c r="E114" t="s">
        <v>407</v>
      </c>
      <c r="F114" t="s">
        <v>408</v>
      </c>
      <c r="G114" t="s">
        <v>412</v>
      </c>
      <c r="H114">
        <v>20</v>
      </c>
      <c r="I114">
        <v>8</v>
      </c>
      <c r="J114">
        <v>2</v>
      </c>
      <c r="K114">
        <v>0</v>
      </c>
      <c r="L114">
        <v>0</v>
      </c>
      <c r="O114">
        <v>17</v>
      </c>
      <c r="R114">
        <v>16</v>
      </c>
      <c r="S114" s="1"/>
    </row>
    <row r="115" spans="1:19" x14ac:dyDescent="0.3">
      <c r="A115" t="s">
        <v>417</v>
      </c>
      <c r="B115" t="s">
        <v>21</v>
      </c>
      <c r="C115" t="s">
        <v>22</v>
      </c>
      <c r="D115" t="s">
        <v>418</v>
      </c>
      <c r="E115" t="s">
        <v>419</v>
      </c>
      <c r="F115" t="s">
        <v>25</v>
      </c>
      <c r="G115" t="s">
        <v>420</v>
      </c>
      <c r="H115">
        <v>46</v>
      </c>
      <c r="I115">
        <v>14</v>
      </c>
      <c r="J115">
        <v>7</v>
      </c>
      <c r="K115">
        <v>10</v>
      </c>
      <c r="L115">
        <v>0</v>
      </c>
      <c r="O115">
        <v>20</v>
      </c>
      <c r="R115">
        <v>14</v>
      </c>
      <c r="S115" s="1"/>
    </row>
    <row r="116" spans="1:19" x14ac:dyDescent="0.3">
      <c r="A116" t="s">
        <v>425</v>
      </c>
      <c r="B116" t="s">
        <v>28</v>
      </c>
      <c r="C116" t="s">
        <v>22</v>
      </c>
      <c r="D116" t="s">
        <v>426</v>
      </c>
      <c r="E116" t="s">
        <v>427</v>
      </c>
      <c r="F116" t="s">
        <v>25</v>
      </c>
      <c r="G116" t="s">
        <v>428</v>
      </c>
      <c r="H116">
        <v>13</v>
      </c>
      <c r="I116">
        <v>0</v>
      </c>
      <c r="J116">
        <v>0</v>
      </c>
      <c r="K116">
        <v>0</v>
      </c>
      <c r="L116">
        <v>0</v>
      </c>
      <c r="M116" s="16">
        <v>5</v>
      </c>
      <c r="O116">
        <v>10</v>
      </c>
      <c r="R116">
        <v>2</v>
      </c>
      <c r="S116" s="1"/>
    </row>
    <row r="117" spans="1:19" x14ac:dyDescent="0.3">
      <c r="A117" t="s">
        <v>429</v>
      </c>
      <c r="B117" t="s">
        <v>21</v>
      </c>
      <c r="D117" s="10"/>
      <c r="F117" t="s">
        <v>25</v>
      </c>
      <c r="G117" t="s">
        <v>430</v>
      </c>
      <c r="H117">
        <v>35</v>
      </c>
      <c r="I117">
        <v>12</v>
      </c>
      <c r="J117">
        <v>3</v>
      </c>
      <c r="K117">
        <v>5</v>
      </c>
      <c r="L117">
        <v>3</v>
      </c>
      <c r="N117" s="3">
        <v>10</v>
      </c>
    </row>
    <row r="118" spans="1:19" x14ac:dyDescent="0.3">
      <c r="A118" t="s">
        <v>431</v>
      </c>
      <c r="B118" t="s">
        <v>28</v>
      </c>
      <c r="C118" t="s">
        <v>29</v>
      </c>
      <c r="D118" t="s">
        <v>432</v>
      </c>
      <c r="E118" t="s">
        <v>433</v>
      </c>
      <c r="F118" t="s">
        <v>92</v>
      </c>
      <c r="G118" t="s">
        <v>434</v>
      </c>
      <c r="H118">
        <v>10</v>
      </c>
      <c r="I118">
        <v>4</v>
      </c>
      <c r="J118">
        <v>2</v>
      </c>
      <c r="K118">
        <v>4</v>
      </c>
      <c r="L118">
        <v>0</v>
      </c>
      <c r="O118">
        <v>14</v>
      </c>
      <c r="R118">
        <v>21</v>
      </c>
      <c r="S118" s="1"/>
    </row>
    <row r="119" spans="1:19" x14ac:dyDescent="0.3">
      <c r="A119" t="s">
        <v>435</v>
      </c>
      <c r="B119" t="s">
        <v>28</v>
      </c>
      <c r="C119" t="s">
        <v>29</v>
      </c>
      <c r="D119" s="18" t="s">
        <v>436</v>
      </c>
      <c r="E119" s="10" t="s">
        <v>437</v>
      </c>
      <c r="F119" t="s">
        <v>32</v>
      </c>
      <c r="G119" t="s">
        <v>438</v>
      </c>
      <c r="H119">
        <v>19</v>
      </c>
      <c r="I119">
        <v>6</v>
      </c>
      <c r="J119">
        <v>3</v>
      </c>
      <c r="K119">
        <v>0</v>
      </c>
      <c r="L119">
        <v>2</v>
      </c>
      <c r="M119" s="3">
        <v>8</v>
      </c>
    </row>
    <row r="120" spans="1:19" x14ac:dyDescent="0.3">
      <c r="A120" t="s">
        <v>439</v>
      </c>
      <c r="B120" t="s">
        <v>21</v>
      </c>
      <c r="D120" s="18" t="s">
        <v>440</v>
      </c>
      <c r="E120" s="10" t="s">
        <v>441</v>
      </c>
      <c r="F120" t="s">
        <v>279</v>
      </c>
      <c r="G120" t="s">
        <v>442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9" x14ac:dyDescent="0.3">
      <c r="A121" t="s">
        <v>443</v>
      </c>
      <c r="B121" t="s">
        <v>28</v>
      </c>
      <c r="C121" t="s">
        <v>29</v>
      </c>
      <c r="D121" s="18" t="s">
        <v>444</v>
      </c>
      <c r="E121" s="10" t="s">
        <v>445</v>
      </c>
      <c r="F121" t="s">
        <v>279</v>
      </c>
      <c r="G121" t="s">
        <v>196</v>
      </c>
      <c r="H121">
        <v>14</v>
      </c>
      <c r="I121">
        <v>4</v>
      </c>
      <c r="J121">
        <v>2</v>
      </c>
      <c r="K121">
        <v>0</v>
      </c>
      <c r="L121">
        <v>0</v>
      </c>
    </row>
    <row r="122" spans="1:19" x14ac:dyDescent="0.3">
      <c r="A122" t="s">
        <v>446</v>
      </c>
      <c r="B122" t="s">
        <v>28</v>
      </c>
      <c r="D122" t="s">
        <v>447</v>
      </c>
      <c r="E122" t="s">
        <v>448</v>
      </c>
      <c r="F122" t="s">
        <v>38</v>
      </c>
      <c r="G122" t="s">
        <v>449</v>
      </c>
      <c r="H122">
        <v>10</v>
      </c>
      <c r="I122">
        <v>4</v>
      </c>
      <c r="J122">
        <v>2</v>
      </c>
      <c r="K122">
        <v>0</v>
      </c>
      <c r="L122">
        <v>2</v>
      </c>
      <c r="M122" s="3">
        <v>9</v>
      </c>
      <c r="O122">
        <v>7</v>
      </c>
      <c r="R122">
        <v>16</v>
      </c>
      <c r="S122" s="1"/>
    </row>
    <row r="123" spans="1:19" x14ac:dyDescent="0.3">
      <c r="A123" t="s">
        <v>450</v>
      </c>
      <c r="B123" t="s">
        <v>28</v>
      </c>
      <c r="C123" t="s">
        <v>22</v>
      </c>
      <c r="D123" t="s">
        <v>451</v>
      </c>
      <c r="E123" t="s">
        <v>452</v>
      </c>
      <c r="F123" t="s">
        <v>38</v>
      </c>
      <c r="G123" t="s">
        <v>453</v>
      </c>
      <c r="H123">
        <v>35</v>
      </c>
      <c r="I123">
        <v>14</v>
      </c>
      <c r="J123">
        <v>7</v>
      </c>
      <c r="K123">
        <v>0</v>
      </c>
      <c r="L123">
        <v>4</v>
      </c>
      <c r="M123" s="3">
        <v>8</v>
      </c>
      <c r="O123">
        <v>6</v>
      </c>
      <c r="R123">
        <v>16</v>
      </c>
      <c r="S123" s="1"/>
    </row>
    <row r="124" spans="1:19" x14ac:dyDescent="0.3">
      <c r="A124" t="s">
        <v>454</v>
      </c>
      <c r="B124" t="s">
        <v>21</v>
      </c>
      <c r="C124" t="s">
        <v>22</v>
      </c>
      <c r="D124" t="s">
        <v>455</v>
      </c>
      <c r="E124" t="s">
        <v>456</v>
      </c>
      <c r="F124" t="s">
        <v>142</v>
      </c>
      <c r="G124" t="s">
        <v>268</v>
      </c>
      <c r="H124">
        <v>40</v>
      </c>
      <c r="I124">
        <v>14</v>
      </c>
      <c r="J124">
        <v>4</v>
      </c>
      <c r="K124">
        <v>0</v>
      </c>
      <c r="L124">
        <v>2</v>
      </c>
      <c r="N124" s="3">
        <v>9</v>
      </c>
      <c r="O124">
        <v>33</v>
      </c>
      <c r="R124">
        <v>25</v>
      </c>
      <c r="S124" s="1"/>
    </row>
    <row r="125" spans="1:19" x14ac:dyDescent="0.3">
      <c r="A125" s="2" t="s">
        <v>457</v>
      </c>
      <c r="B125" t="s">
        <v>21</v>
      </c>
      <c r="C125" t="s">
        <v>22</v>
      </c>
      <c r="D125" t="s">
        <v>458</v>
      </c>
      <c r="E125" t="s">
        <v>459</v>
      </c>
      <c r="F125" t="s">
        <v>25</v>
      </c>
      <c r="G125" t="s">
        <v>460</v>
      </c>
      <c r="H125">
        <v>15</v>
      </c>
      <c r="I125">
        <v>0</v>
      </c>
      <c r="J125">
        <v>0</v>
      </c>
      <c r="K125">
        <v>0</v>
      </c>
      <c r="L125">
        <v>0</v>
      </c>
      <c r="O125" s="1">
        <v>17.75</v>
      </c>
      <c r="P125" s="1"/>
      <c r="Q125" s="1"/>
      <c r="R125" s="1">
        <v>10.25</v>
      </c>
      <c r="S125" s="1"/>
    </row>
    <row r="126" spans="1:19" x14ac:dyDescent="0.3">
      <c r="A126" t="s">
        <v>457</v>
      </c>
      <c r="B126" t="s">
        <v>21</v>
      </c>
      <c r="C126" t="s">
        <v>22</v>
      </c>
      <c r="D126" t="s">
        <v>458</v>
      </c>
      <c r="E126" t="s">
        <v>459</v>
      </c>
      <c r="F126" t="s">
        <v>25</v>
      </c>
      <c r="G126" t="s">
        <v>461</v>
      </c>
      <c r="H126">
        <v>48</v>
      </c>
      <c r="I126">
        <v>0</v>
      </c>
      <c r="J126">
        <v>0</v>
      </c>
      <c r="K126">
        <v>0</v>
      </c>
      <c r="L126">
        <v>0</v>
      </c>
      <c r="O126" s="1">
        <v>19.75</v>
      </c>
      <c r="P126" s="1"/>
      <c r="Q126" s="1"/>
      <c r="R126" s="1">
        <v>15.75</v>
      </c>
      <c r="S126" s="1"/>
    </row>
    <row r="127" spans="1:19" x14ac:dyDescent="0.3">
      <c r="A127" t="s">
        <v>457</v>
      </c>
      <c r="B127" t="s">
        <v>21</v>
      </c>
      <c r="C127" t="s">
        <v>22</v>
      </c>
      <c r="D127" t="s">
        <v>458</v>
      </c>
      <c r="E127" t="s">
        <v>459</v>
      </c>
      <c r="F127" t="s">
        <v>25</v>
      </c>
      <c r="G127" t="s">
        <v>461</v>
      </c>
      <c r="H127">
        <v>48</v>
      </c>
      <c r="I127">
        <v>0</v>
      </c>
      <c r="J127">
        <v>0</v>
      </c>
      <c r="K127">
        <v>0</v>
      </c>
      <c r="L127">
        <v>0</v>
      </c>
      <c r="O127" s="1">
        <v>19.75</v>
      </c>
      <c r="P127" s="1"/>
      <c r="Q127" s="1"/>
      <c r="R127" s="1">
        <v>15.75</v>
      </c>
      <c r="S127" s="1"/>
    </row>
    <row r="128" spans="1:19" x14ac:dyDescent="0.3">
      <c r="A128" t="s">
        <v>457</v>
      </c>
      <c r="B128" t="s">
        <v>21</v>
      </c>
      <c r="C128" t="s">
        <v>22</v>
      </c>
      <c r="D128" t="s">
        <v>458</v>
      </c>
      <c r="E128" t="s">
        <v>459</v>
      </c>
      <c r="F128" t="s">
        <v>25</v>
      </c>
      <c r="G128" t="s">
        <v>462</v>
      </c>
      <c r="H128">
        <v>42</v>
      </c>
      <c r="I128">
        <v>0</v>
      </c>
      <c r="J128">
        <v>0</v>
      </c>
      <c r="K128">
        <v>0</v>
      </c>
      <c r="L128">
        <v>0</v>
      </c>
      <c r="O128" s="1">
        <v>21.75</v>
      </c>
      <c r="P128" s="1"/>
      <c r="Q128" s="1"/>
      <c r="R128" s="1">
        <v>14.75</v>
      </c>
      <c r="S128" s="1"/>
    </row>
    <row r="129" spans="1:19" x14ac:dyDescent="0.3">
      <c r="A129" t="s">
        <v>467</v>
      </c>
      <c r="B129" t="s">
        <v>53</v>
      </c>
      <c r="C129" t="s">
        <v>29</v>
      </c>
      <c r="D129" t="s">
        <v>468</v>
      </c>
      <c r="E129" t="s">
        <v>469</v>
      </c>
      <c r="F129" t="s">
        <v>56</v>
      </c>
      <c r="G129" t="s">
        <v>470</v>
      </c>
      <c r="H129">
        <v>24</v>
      </c>
      <c r="I129">
        <v>0</v>
      </c>
      <c r="J129">
        <v>0</v>
      </c>
      <c r="K129">
        <v>0</v>
      </c>
      <c r="L129">
        <v>0</v>
      </c>
      <c r="O129">
        <v>10</v>
      </c>
      <c r="P129">
        <v>3</v>
      </c>
      <c r="Q129">
        <v>9.5</v>
      </c>
      <c r="R129">
        <v>4</v>
      </c>
      <c r="S129" s="1"/>
    </row>
    <row r="130" spans="1:19" x14ac:dyDescent="0.3">
      <c r="A130" t="s">
        <v>474</v>
      </c>
      <c r="B130" t="s">
        <v>113</v>
      </c>
      <c r="C130" t="s">
        <v>22</v>
      </c>
      <c r="D130" t="s">
        <v>475</v>
      </c>
      <c r="E130" t="s">
        <v>476</v>
      </c>
      <c r="F130" t="s">
        <v>477</v>
      </c>
      <c r="G130" t="s">
        <v>478</v>
      </c>
      <c r="H130">
        <v>36</v>
      </c>
      <c r="I130">
        <v>0</v>
      </c>
      <c r="J130">
        <v>0</v>
      </c>
      <c r="K130">
        <v>0</v>
      </c>
      <c r="L130">
        <v>0</v>
      </c>
      <c r="O130">
        <v>6</v>
      </c>
      <c r="R130">
        <v>7</v>
      </c>
      <c r="S130" s="1"/>
    </row>
    <row r="131" spans="1:19" x14ac:dyDescent="0.3">
      <c r="A131" t="s">
        <v>479</v>
      </c>
      <c r="B131" t="s">
        <v>21</v>
      </c>
      <c r="C131" t="s">
        <v>29</v>
      </c>
      <c r="D131" t="s">
        <v>480</v>
      </c>
      <c r="E131" t="s">
        <v>481</v>
      </c>
      <c r="F131" t="s">
        <v>482</v>
      </c>
      <c r="G131" t="s">
        <v>409</v>
      </c>
      <c r="H131">
        <v>44</v>
      </c>
      <c r="I131">
        <v>18</v>
      </c>
      <c r="J131">
        <v>6</v>
      </c>
      <c r="K131">
        <v>0</v>
      </c>
      <c r="L131">
        <v>2</v>
      </c>
      <c r="O131">
        <v>7.5</v>
      </c>
      <c r="P131">
        <v>2.5</v>
      </c>
      <c r="Q131">
        <v>6.5</v>
      </c>
      <c r="R131">
        <v>0</v>
      </c>
      <c r="S131" s="1"/>
    </row>
    <row r="132" spans="1:19" x14ac:dyDescent="0.3">
      <c r="A132" t="s">
        <v>479</v>
      </c>
      <c r="B132" t="s">
        <v>21</v>
      </c>
      <c r="C132" t="s">
        <v>29</v>
      </c>
      <c r="D132" t="s">
        <v>480</v>
      </c>
      <c r="E132" t="s">
        <v>481</v>
      </c>
      <c r="F132" t="s">
        <v>482</v>
      </c>
      <c r="G132" t="s">
        <v>353</v>
      </c>
      <c r="H132">
        <v>30</v>
      </c>
      <c r="I132">
        <v>10</v>
      </c>
      <c r="J132">
        <v>4</v>
      </c>
      <c r="K132">
        <v>0</v>
      </c>
      <c r="L132">
        <v>1</v>
      </c>
      <c r="O132">
        <v>17.5</v>
      </c>
      <c r="P132">
        <v>11</v>
      </c>
      <c r="Q132">
        <v>16.5</v>
      </c>
      <c r="R132">
        <v>11.5</v>
      </c>
      <c r="S132" s="1"/>
    </row>
    <row r="133" spans="1:19" x14ac:dyDescent="0.3">
      <c r="A133" t="s">
        <v>479</v>
      </c>
      <c r="B133" t="s">
        <v>21</v>
      </c>
      <c r="C133" t="s">
        <v>29</v>
      </c>
      <c r="D133" t="s">
        <v>480</v>
      </c>
      <c r="E133" t="s">
        <v>481</v>
      </c>
      <c r="F133" t="s">
        <v>482</v>
      </c>
      <c r="G133" t="s">
        <v>483</v>
      </c>
      <c r="H133">
        <v>26</v>
      </c>
      <c r="I133">
        <v>10</v>
      </c>
      <c r="J133">
        <v>2</v>
      </c>
      <c r="K133">
        <v>0</v>
      </c>
      <c r="L133">
        <v>1</v>
      </c>
      <c r="O133">
        <v>25.5</v>
      </c>
      <c r="P133">
        <v>17.5</v>
      </c>
      <c r="Q133">
        <v>25.5</v>
      </c>
      <c r="R133">
        <v>20</v>
      </c>
      <c r="S133" s="1"/>
    </row>
    <row r="134" spans="1:19" x14ac:dyDescent="0.3">
      <c r="A134" t="s">
        <v>484</v>
      </c>
      <c r="B134" t="s">
        <v>53</v>
      </c>
      <c r="D134" t="s">
        <v>485</v>
      </c>
      <c r="E134" t="s">
        <v>486</v>
      </c>
      <c r="F134" t="s">
        <v>56</v>
      </c>
      <c r="G134" t="s">
        <v>487</v>
      </c>
      <c r="H134">
        <v>20</v>
      </c>
      <c r="I134">
        <v>0</v>
      </c>
      <c r="J134">
        <v>0</v>
      </c>
      <c r="K134">
        <v>0</v>
      </c>
      <c r="L134">
        <v>0</v>
      </c>
      <c r="O134">
        <v>14</v>
      </c>
      <c r="R134">
        <v>3</v>
      </c>
      <c r="S134" s="1"/>
    </row>
    <row r="135" spans="1:19" x14ac:dyDescent="0.3">
      <c r="A135" t="s">
        <v>488</v>
      </c>
      <c r="B135" t="s">
        <v>28</v>
      </c>
      <c r="C135" t="s">
        <v>29</v>
      </c>
      <c r="D135" t="s">
        <v>489</v>
      </c>
      <c r="E135" t="s">
        <v>490</v>
      </c>
      <c r="F135" t="s">
        <v>155</v>
      </c>
      <c r="G135" t="s">
        <v>491</v>
      </c>
      <c r="H135">
        <v>9</v>
      </c>
      <c r="I135">
        <v>3</v>
      </c>
      <c r="J135">
        <v>1</v>
      </c>
      <c r="K135">
        <v>0</v>
      </c>
      <c r="L135">
        <v>1</v>
      </c>
      <c r="M135" s="16">
        <v>4</v>
      </c>
      <c r="O135">
        <v>9</v>
      </c>
      <c r="R135">
        <v>19</v>
      </c>
      <c r="S135" s="1"/>
    </row>
    <row r="136" spans="1:19" x14ac:dyDescent="0.3">
      <c r="A136" t="s">
        <v>488</v>
      </c>
      <c r="B136" t="s">
        <v>28</v>
      </c>
      <c r="C136" t="s">
        <v>29</v>
      </c>
      <c r="D136" t="s">
        <v>489</v>
      </c>
      <c r="E136" t="s">
        <v>490</v>
      </c>
      <c r="F136" t="s">
        <v>155</v>
      </c>
      <c r="G136" t="s">
        <v>492</v>
      </c>
      <c r="H136">
        <v>9</v>
      </c>
      <c r="I136">
        <v>3</v>
      </c>
      <c r="J136">
        <v>1</v>
      </c>
      <c r="K136">
        <v>0</v>
      </c>
      <c r="L136">
        <v>1</v>
      </c>
      <c r="M136" s="16">
        <v>6</v>
      </c>
      <c r="O136">
        <v>9</v>
      </c>
      <c r="R136">
        <v>19</v>
      </c>
      <c r="S136" s="1"/>
    </row>
    <row r="137" spans="1:19" x14ac:dyDescent="0.3">
      <c r="A137" s="6" t="s">
        <v>493</v>
      </c>
      <c r="B137" t="s">
        <v>21</v>
      </c>
      <c r="C137" t="s">
        <v>22</v>
      </c>
      <c r="D137" s="18" t="s">
        <v>494</v>
      </c>
      <c r="E137" s="10" t="s">
        <v>495</v>
      </c>
      <c r="F137" t="s">
        <v>25</v>
      </c>
      <c r="G137" t="s">
        <v>496</v>
      </c>
      <c r="H137">
        <v>50</v>
      </c>
      <c r="I137">
        <v>20</v>
      </c>
      <c r="J137">
        <v>10</v>
      </c>
      <c r="K137">
        <v>0</v>
      </c>
      <c r="L137">
        <v>1</v>
      </c>
    </row>
    <row r="138" spans="1:19" x14ac:dyDescent="0.3">
      <c r="A138" t="s">
        <v>497</v>
      </c>
      <c r="B138" t="s">
        <v>21</v>
      </c>
      <c r="C138" t="s">
        <v>29</v>
      </c>
      <c r="D138" t="s">
        <v>498</v>
      </c>
      <c r="E138" t="s">
        <v>221</v>
      </c>
      <c r="F138" t="s">
        <v>142</v>
      </c>
      <c r="G138" t="s">
        <v>499</v>
      </c>
      <c r="H138">
        <v>26</v>
      </c>
      <c r="I138">
        <v>0</v>
      </c>
      <c r="J138">
        <v>0</v>
      </c>
      <c r="K138">
        <v>0</v>
      </c>
      <c r="L138">
        <v>0</v>
      </c>
      <c r="O138">
        <v>6</v>
      </c>
      <c r="R138">
        <v>14</v>
      </c>
      <c r="S138" s="1"/>
    </row>
    <row r="139" spans="1:19" x14ac:dyDescent="0.3">
      <c r="A139" t="s">
        <v>500</v>
      </c>
      <c r="B139" t="s">
        <v>53</v>
      </c>
      <c r="C139" t="s">
        <v>29</v>
      </c>
      <c r="D139" s="10" t="s">
        <v>501</v>
      </c>
      <c r="E139" s="10" t="s">
        <v>502</v>
      </c>
      <c r="F139" t="s">
        <v>56</v>
      </c>
      <c r="G139" t="s">
        <v>503</v>
      </c>
      <c r="H139">
        <v>21</v>
      </c>
      <c r="I139">
        <v>0</v>
      </c>
      <c r="J139">
        <v>0</v>
      </c>
      <c r="K139">
        <v>0</v>
      </c>
      <c r="L139">
        <v>0</v>
      </c>
    </row>
  </sheetData>
  <autoFilter ref="A1:S139" xr:uid="{E6B94256-6987-42BF-B5A4-CCFB3DECE18D}">
    <sortState xmlns:xlrd2="http://schemas.microsoft.com/office/spreadsheetml/2017/richdata2" ref="A2:S139">
      <sortCondition ref="A1:A139"/>
    </sortState>
  </autoFilter>
  <hyperlinks>
    <hyperlink ref="D15" r:id="rId1" xr:uid="{25FE3959-4023-47E9-85F7-DDC034E75711}"/>
    <hyperlink ref="D120" r:id="rId2" xr:uid="{2F06AB5D-36D0-4261-A141-401CFCD16C56}"/>
    <hyperlink ref="D105" r:id="rId3" xr:uid="{65ACA89A-1CD8-4FD7-9E73-20782E2CAF39}"/>
    <hyperlink ref="D106" r:id="rId4" xr:uid="{8DFFEDC4-3136-4B0F-B906-72849813D283}"/>
    <hyperlink ref="D20" r:id="rId5" xr:uid="{598EA1E1-0211-4C08-AB58-BEDFB1AAA33B}"/>
    <hyperlink ref="D104" r:id="rId6" xr:uid="{A87EF624-686F-4F14-A077-15602E8D914A}"/>
    <hyperlink ref="D121" r:id="rId7" xr:uid="{FD938D4C-1EA1-4DF8-9B9A-7C15DFD86930}"/>
    <hyperlink ref="D137" r:id="rId8" display="tyler@w2energyservices.com" xr:uid="{3F907194-C65A-4DD3-97C9-20DFD5FC0B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4256-6987-42BF-B5A4-CCFB3DECE18D}">
  <dimension ref="A1:S138"/>
  <sheetViews>
    <sheetView topLeftCell="A133" workbookViewId="0">
      <selection activeCell="A68" sqref="A68"/>
    </sheetView>
  </sheetViews>
  <sheetFormatPr defaultRowHeight="14.4" x14ac:dyDescent="0.3"/>
  <cols>
    <col min="1" max="1" width="38.109375" bestFit="1" customWidth="1"/>
    <col min="2" max="2" width="10.6640625" bestFit="1" customWidth="1"/>
    <col min="3" max="3" width="8.88671875" bestFit="1" customWidth="1"/>
    <col min="4" max="4" width="44.5546875" bestFit="1" customWidth="1"/>
    <col min="5" max="5" width="13.6640625" bestFit="1" customWidth="1"/>
    <col min="6" max="6" width="18.5546875" bestFit="1" customWidth="1"/>
    <col min="7" max="7" width="16.33203125" bestFit="1" customWidth="1"/>
    <col min="13" max="13" width="24.6640625" bestFit="1" customWidth="1"/>
    <col min="14" max="14" width="21.5546875" bestFit="1" customWidth="1"/>
    <col min="15" max="15" width="28.88671875" bestFit="1" customWidth="1"/>
    <col min="16" max="16" width="26.6640625" bestFit="1" customWidth="1"/>
    <col min="17" max="17" width="31" bestFit="1" customWidth="1"/>
    <col min="18" max="18" width="30.33203125" bestFit="1" customWidth="1"/>
    <col min="19" max="19" width="26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3">
      <c r="A2" t="s">
        <v>112</v>
      </c>
      <c r="B2" t="s">
        <v>113</v>
      </c>
      <c r="C2" t="s">
        <v>22</v>
      </c>
      <c r="D2" t="s">
        <v>114</v>
      </c>
      <c r="E2" t="s">
        <v>115</v>
      </c>
      <c r="F2" t="s">
        <v>92</v>
      </c>
      <c r="G2" t="s">
        <v>116</v>
      </c>
      <c r="H2">
        <v>100</v>
      </c>
      <c r="I2">
        <v>0</v>
      </c>
      <c r="J2">
        <v>0</v>
      </c>
      <c r="K2">
        <v>0</v>
      </c>
      <c r="L2">
        <v>0</v>
      </c>
      <c r="O2">
        <v>4</v>
      </c>
      <c r="R2">
        <v>14</v>
      </c>
      <c r="S2" s="1"/>
    </row>
    <row r="3" spans="1:19" x14ac:dyDescent="0.3">
      <c r="A3" t="s">
        <v>170</v>
      </c>
      <c r="B3" t="s">
        <v>113</v>
      </c>
      <c r="D3" t="s">
        <v>171</v>
      </c>
      <c r="E3" t="s">
        <v>172</v>
      </c>
      <c r="F3" t="s">
        <v>56</v>
      </c>
      <c r="G3" t="s">
        <v>173</v>
      </c>
      <c r="H3">
        <v>80</v>
      </c>
      <c r="I3">
        <v>0</v>
      </c>
      <c r="J3">
        <v>0</v>
      </c>
      <c r="K3">
        <v>0</v>
      </c>
      <c r="L3">
        <v>0</v>
      </c>
      <c r="O3">
        <v>7</v>
      </c>
      <c r="R3">
        <v>4</v>
      </c>
      <c r="S3" s="1"/>
    </row>
    <row r="4" spans="1:19" x14ac:dyDescent="0.3">
      <c r="A4" t="s">
        <v>474</v>
      </c>
      <c r="B4" t="s">
        <v>113</v>
      </c>
      <c r="C4" t="s">
        <v>22</v>
      </c>
      <c r="D4" t="s">
        <v>475</v>
      </c>
      <c r="E4" t="s">
        <v>476</v>
      </c>
      <c r="F4" t="s">
        <v>477</v>
      </c>
      <c r="G4" t="s">
        <v>478</v>
      </c>
      <c r="H4">
        <v>36</v>
      </c>
      <c r="I4">
        <v>0</v>
      </c>
      <c r="J4">
        <v>0</v>
      </c>
      <c r="K4">
        <v>0</v>
      </c>
      <c r="L4">
        <v>0</v>
      </c>
      <c r="O4">
        <v>6</v>
      </c>
      <c r="R4">
        <v>7</v>
      </c>
      <c r="S4" s="1"/>
    </row>
    <row r="5" spans="1:19" x14ac:dyDescent="0.3">
      <c r="A5" t="s">
        <v>488</v>
      </c>
      <c r="B5" t="s">
        <v>28</v>
      </c>
      <c r="C5" t="s">
        <v>29</v>
      </c>
      <c r="D5" t="s">
        <v>489</v>
      </c>
      <c r="E5" t="s">
        <v>490</v>
      </c>
      <c r="F5" t="s">
        <v>155</v>
      </c>
      <c r="G5" t="s">
        <v>491</v>
      </c>
      <c r="H5">
        <v>9</v>
      </c>
      <c r="I5">
        <v>3</v>
      </c>
      <c r="J5">
        <v>1</v>
      </c>
      <c r="K5">
        <v>0</v>
      </c>
      <c r="L5">
        <v>1</v>
      </c>
      <c r="M5" s="16">
        <v>4</v>
      </c>
      <c r="O5">
        <v>9</v>
      </c>
      <c r="R5">
        <v>19</v>
      </c>
      <c r="S5" s="1"/>
    </row>
    <row r="6" spans="1:19" x14ac:dyDescent="0.3">
      <c r="A6" s="6" t="s">
        <v>152</v>
      </c>
      <c r="B6" t="s">
        <v>28</v>
      </c>
      <c r="C6" t="s">
        <v>22</v>
      </c>
      <c r="D6" t="s">
        <v>153</v>
      </c>
      <c r="E6" t="s">
        <v>154</v>
      </c>
      <c r="F6" t="s">
        <v>155</v>
      </c>
      <c r="G6" t="s">
        <v>156</v>
      </c>
      <c r="H6">
        <v>30</v>
      </c>
      <c r="I6">
        <v>0</v>
      </c>
      <c r="J6">
        <v>0</v>
      </c>
      <c r="K6">
        <v>0</v>
      </c>
      <c r="L6">
        <v>0</v>
      </c>
      <c r="M6" s="16">
        <v>5</v>
      </c>
      <c r="O6">
        <v>10</v>
      </c>
      <c r="R6">
        <v>2</v>
      </c>
      <c r="S6" s="1"/>
    </row>
    <row r="7" spans="1:19" x14ac:dyDescent="0.3">
      <c r="A7" t="s">
        <v>425</v>
      </c>
      <c r="B7" t="s">
        <v>28</v>
      </c>
      <c r="C7" t="s">
        <v>22</v>
      </c>
      <c r="D7" t="s">
        <v>426</v>
      </c>
      <c r="E7" t="s">
        <v>427</v>
      </c>
      <c r="F7" t="s">
        <v>25</v>
      </c>
      <c r="G7" t="s">
        <v>428</v>
      </c>
      <c r="H7">
        <v>13</v>
      </c>
      <c r="I7">
        <v>0</v>
      </c>
      <c r="J7">
        <v>0</v>
      </c>
      <c r="K7">
        <v>0</v>
      </c>
      <c r="L7">
        <v>0</v>
      </c>
      <c r="M7" s="16">
        <v>5</v>
      </c>
      <c r="O7">
        <v>10</v>
      </c>
      <c r="R7">
        <v>2</v>
      </c>
      <c r="S7" s="1"/>
    </row>
    <row r="8" spans="1:19" x14ac:dyDescent="0.3">
      <c r="A8" t="s">
        <v>103</v>
      </c>
      <c r="B8" t="s">
        <v>28</v>
      </c>
      <c r="C8" t="s">
        <v>22</v>
      </c>
      <c r="D8" s="18" t="s">
        <v>104</v>
      </c>
      <c r="E8" s="10" t="s">
        <v>105</v>
      </c>
      <c r="F8" t="s">
        <v>43</v>
      </c>
      <c r="G8" t="s">
        <v>106</v>
      </c>
      <c r="H8">
        <v>13</v>
      </c>
      <c r="I8">
        <v>4</v>
      </c>
      <c r="J8">
        <v>2</v>
      </c>
      <c r="K8">
        <v>0</v>
      </c>
      <c r="L8">
        <v>1</v>
      </c>
      <c r="M8" s="16">
        <v>6</v>
      </c>
    </row>
    <row r="9" spans="1:19" x14ac:dyDescent="0.3">
      <c r="A9" s="7" t="s">
        <v>159</v>
      </c>
      <c r="B9" t="s">
        <v>28</v>
      </c>
      <c r="C9" t="s">
        <v>22</v>
      </c>
      <c r="D9" t="s">
        <v>160</v>
      </c>
      <c r="E9" t="s">
        <v>161</v>
      </c>
      <c r="F9" t="s">
        <v>162</v>
      </c>
      <c r="G9" t="s">
        <v>163</v>
      </c>
      <c r="H9">
        <v>17</v>
      </c>
      <c r="I9">
        <v>6</v>
      </c>
      <c r="J9">
        <v>3</v>
      </c>
      <c r="K9">
        <v>4</v>
      </c>
      <c r="L9">
        <v>0</v>
      </c>
      <c r="M9" s="16">
        <v>6</v>
      </c>
      <c r="O9">
        <v>3</v>
      </c>
      <c r="R9">
        <v>11</v>
      </c>
      <c r="S9" s="1"/>
    </row>
    <row r="10" spans="1:19" x14ac:dyDescent="0.3">
      <c r="A10" s="38" t="s">
        <v>396</v>
      </c>
      <c r="B10" t="s">
        <v>28</v>
      </c>
      <c r="C10" t="s">
        <v>22</v>
      </c>
      <c r="D10" s="18" t="s">
        <v>397</v>
      </c>
      <c r="E10" s="10" t="s">
        <v>398</v>
      </c>
      <c r="F10" t="s">
        <v>279</v>
      </c>
      <c r="G10" t="s">
        <v>399</v>
      </c>
      <c r="H10">
        <v>21</v>
      </c>
      <c r="I10">
        <v>8</v>
      </c>
      <c r="J10">
        <v>4</v>
      </c>
      <c r="K10">
        <v>0</v>
      </c>
      <c r="L10">
        <v>0</v>
      </c>
      <c r="M10" s="16">
        <v>6</v>
      </c>
    </row>
    <row r="11" spans="1:19" x14ac:dyDescent="0.3">
      <c r="A11" s="38" t="s">
        <v>396</v>
      </c>
      <c r="B11" t="s">
        <v>28</v>
      </c>
      <c r="C11" t="s">
        <v>22</v>
      </c>
      <c r="D11" s="18" t="s">
        <v>397</v>
      </c>
      <c r="E11" s="10" t="s">
        <v>398</v>
      </c>
      <c r="F11" t="s">
        <v>279</v>
      </c>
      <c r="G11" t="s">
        <v>400</v>
      </c>
      <c r="H11">
        <v>9</v>
      </c>
      <c r="I11">
        <v>4</v>
      </c>
      <c r="J11">
        <v>2</v>
      </c>
      <c r="K11">
        <v>0</v>
      </c>
      <c r="L11">
        <v>0</v>
      </c>
      <c r="M11" s="16">
        <v>6</v>
      </c>
    </row>
    <row r="12" spans="1:19" x14ac:dyDescent="0.3">
      <c r="A12" t="s">
        <v>488</v>
      </c>
      <c r="B12" t="s">
        <v>28</v>
      </c>
      <c r="C12" t="s">
        <v>29</v>
      </c>
      <c r="D12" t="s">
        <v>489</v>
      </c>
      <c r="E12" t="s">
        <v>490</v>
      </c>
      <c r="F12" t="s">
        <v>155</v>
      </c>
      <c r="G12" t="s">
        <v>492</v>
      </c>
      <c r="H12">
        <v>9</v>
      </c>
      <c r="I12">
        <v>3</v>
      </c>
      <c r="J12">
        <v>1</v>
      </c>
      <c r="K12">
        <v>0</v>
      </c>
      <c r="L12">
        <v>1</v>
      </c>
      <c r="M12" s="16">
        <v>6</v>
      </c>
      <c r="O12">
        <v>9</v>
      </c>
      <c r="R12">
        <v>19</v>
      </c>
      <c r="S12" s="1"/>
    </row>
    <row r="13" spans="1:19" x14ac:dyDescent="0.3">
      <c r="A13" t="s">
        <v>134</v>
      </c>
      <c r="B13" t="s">
        <v>28</v>
      </c>
      <c r="C13" t="s">
        <v>29</v>
      </c>
      <c r="D13" t="s">
        <v>135</v>
      </c>
      <c r="E13" t="s">
        <v>136</v>
      </c>
      <c r="F13" t="s">
        <v>137</v>
      </c>
      <c r="G13" t="s">
        <v>138</v>
      </c>
      <c r="H13">
        <v>20</v>
      </c>
      <c r="I13">
        <v>8</v>
      </c>
      <c r="J13">
        <v>4</v>
      </c>
      <c r="K13">
        <v>0</v>
      </c>
      <c r="L13">
        <v>0</v>
      </c>
      <c r="M13" s="3">
        <v>8</v>
      </c>
      <c r="O13">
        <v>6</v>
      </c>
      <c r="R13">
        <v>14</v>
      </c>
      <c r="S13" s="1"/>
    </row>
    <row r="14" spans="1:19" x14ac:dyDescent="0.3">
      <c r="A14" t="s">
        <v>363</v>
      </c>
      <c r="B14" t="s">
        <v>28</v>
      </c>
      <c r="C14" t="s">
        <v>22</v>
      </c>
      <c r="D14" t="s">
        <v>364</v>
      </c>
      <c r="E14" t="s">
        <v>365</v>
      </c>
      <c r="F14" t="s">
        <v>92</v>
      </c>
      <c r="G14" t="s">
        <v>366</v>
      </c>
      <c r="H14">
        <v>12</v>
      </c>
      <c r="I14">
        <v>4</v>
      </c>
      <c r="J14">
        <v>2</v>
      </c>
      <c r="K14">
        <v>2</v>
      </c>
      <c r="L14">
        <v>0</v>
      </c>
      <c r="M14" s="3">
        <v>8</v>
      </c>
      <c r="O14">
        <v>6</v>
      </c>
      <c r="R14">
        <v>13</v>
      </c>
      <c r="S14" s="1"/>
    </row>
    <row r="15" spans="1:19" x14ac:dyDescent="0.3">
      <c r="A15" t="s">
        <v>435</v>
      </c>
      <c r="B15" t="s">
        <v>28</v>
      </c>
      <c r="C15" t="s">
        <v>29</v>
      </c>
      <c r="D15" s="18" t="s">
        <v>436</v>
      </c>
      <c r="E15" s="10" t="s">
        <v>437</v>
      </c>
      <c r="F15" t="s">
        <v>32</v>
      </c>
      <c r="G15" t="s">
        <v>438</v>
      </c>
      <c r="H15">
        <v>19</v>
      </c>
      <c r="I15">
        <v>6</v>
      </c>
      <c r="J15">
        <v>3</v>
      </c>
      <c r="K15">
        <v>0</v>
      </c>
      <c r="L15">
        <v>2</v>
      </c>
      <c r="M15" s="3">
        <v>8</v>
      </c>
    </row>
    <row r="16" spans="1:19" x14ac:dyDescent="0.3">
      <c r="A16" s="6" t="s">
        <v>450</v>
      </c>
      <c r="B16" t="s">
        <v>28</v>
      </c>
      <c r="C16" t="s">
        <v>22</v>
      </c>
      <c r="D16" t="s">
        <v>451</v>
      </c>
      <c r="E16" t="s">
        <v>452</v>
      </c>
      <c r="F16" t="s">
        <v>38</v>
      </c>
      <c r="G16" t="s">
        <v>453</v>
      </c>
      <c r="H16">
        <v>35</v>
      </c>
      <c r="I16">
        <v>14</v>
      </c>
      <c r="J16">
        <v>7</v>
      </c>
      <c r="K16">
        <v>0</v>
      </c>
      <c r="L16">
        <v>4</v>
      </c>
      <c r="M16" s="3">
        <v>8</v>
      </c>
      <c r="O16">
        <v>6</v>
      </c>
      <c r="R16">
        <v>16</v>
      </c>
      <c r="S16" s="1"/>
    </row>
    <row r="17" spans="1:19" x14ac:dyDescent="0.3">
      <c r="A17" s="10" t="s">
        <v>396</v>
      </c>
      <c r="B17" t="s">
        <v>28</v>
      </c>
      <c r="C17" t="s">
        <v>22</v>
      </c>
      <c r="D17" s="18" t="s">
        <v>397</v>
      </c>
      <c r="E17" s="10" t="s">
        <v>398</v>
      </c>
      <c r="F17" t="s">
        <v>279</v>
      </c>
      <c r="G17" t="s">
        <v>400</v>
      </c>
      <c r="H17">
        <v>9</v>
      </c>
      <c r="I17">
        <v>4</v>
      </c>
      <c r="J17">
        <v>2</v>
      </c>
      <c r="K17">
        <v>0</v>
      </c>
      <c r="L17">
        <v>0</v>
      </c>
      <c r="M17" s="3">
        <v>9</v>
      </c>
    </row>
    <row r="18" spans="1:19" x14ac:dyDescent="0.3">
      <c r="A18" s="6" t="s">
        <v>446</v>
      </c>
      <c r="B18" t="s">
        <v>28</v>
      </c>
      <c r="D18" t="s">
        <v>447</v>
      </c>
      <c r="E18" t="s">
        <v>448</v>
      </c>
      <c r="F18" t="s">
        <v>38</v>
      </c>
      <c r="G18" t="s">
        <v>449</v>
      </c>
      <c r="H18">
        <v>10</v>
      </c>
      <c r="I18">
        <v>4</v>
      </c>
      <c r="J18">
        <v>2</v>
      </c>
      <c r="K18">
        <v>0</v>
      </c>
      <c r="L18">
        <v>2</v>
      </c>
      <c r="M18" s="3">
        <v>9</v>
      </c>
      <c r="O18">
        <v>7</v>
      </c>
      <c r="R18">
        <v>16</v>
      </c>
      <c r="S18" s="1"/>
    </row>
    <row r="19" spans="1:19" x14ac:dyDescent="0.3">
      <c r="A19" t="s">
        <v>27</v>
      </c>
      <c r="B19" t="s">
        <v>28</v>
      </c>
      <c r="C19" t="s">
        <v>29</v>
      </c>
      <c r="D19" s="18" t="s">
        <v>30</v>
      </c>
      <c r="E19" s="10" t="s">
        <v>31</v>
      </c>
      <c r="F19" t="s">
        <v>32</v>
      </c>
      <c r="G19" t="s">
        <v>33</v>
      </c>
      <c r="H19">
        <v>13</v>
      </c>
      <c r="I19">
        <v>6</v>
      </c>
      <c r="J19">
        <v>3</v>
      </c>
      <c r="K19">
        <v>0</v>
      </c>
      <c r="L19">
        <v>1</v>
      </c>
      <c r="M19" s="3">
        <v>10</v>
      </c>
    </row>
    <row r="20" spans="1:19" x14ac:dyDescent="0.3">
      <c r="A20" t="s">
        <v>27</v>
      </c>
      <c r="B20" t="s">
        <v>28</v>
      </c>
      <c r="C20" t="s">
        <v>29</v>
      </c>
      <c r="D20" s="18" t="s">
        <v>30</v>
      </c>
      <c r="E20" s="10" t="s">
        <v>31</v>
      </c>
      <c r="F20" t="s">
        <v>32</v>
      </c>
      <c r="G20" t="s">
        <v>34</v>
      </c>
      <c r="H20">
        <v>13</v>
      </c>
      <c r="I20">
        <v>6</v>
      </c>
      <c r="J20">
        <v>3</v>
      </c>
      <c r="K20">
        <v>0</v>
      </c>
      <c r="L20">
        <v>1</v>
      </c>
      <c r="M20" s="3">
        <v>11</v>
      </c>
    </row>
    <row r="21" spans="1:19" x14ac:dyDescent="0.3">
      <c r="A21" s="7" t="s">
        <v>120</v>
      </c>
      <c r="B21" t="s">
        <v>28</v>
      </c>
      <c r="C21" t="s">
        <v>22</v>
      </c>
      <c r="D21" s="18" t="s">
        <v>121</v>
      </c>
      <c r="E21" s="10" t="s">
        <v>122</v>
      </c>
      <c r="F21" t="s">
        <v>32</v>
      </c>
      <c r="G21" t="s">
        <v>123</v>
      </c>
      <c r="H21">
        <v>7</v>
      </c>
      <c r="I21">
        <v>2</v>
      </c>
      <c r="J21">
        <v>1</v>
      </c>
      <c r="K21">
        <v>0</v>
      </c>
      <c r="L21">
        <v>0</v>
      </c>
      <c r="M21" s="3">
        <v>11</v>
      </c>
    </row>
    <row r="22" spans="1:19" x14ac:dyDescent="0.3">
      <c r="A22" t="s">
        <v>124</v>
      </c>
      <c r="B22" t="s">
        <v>28</v>
      </c>
      <c r="C22" t="s">
        <v>22</v>
      </c>
      <c r="D22" s="18" t="s">
        <v>121</v>
      </c>
      <c r="E22" s="10" t="s">
        <v>122</v>
      </c>
      <c r="F22" t="s">
        <v>32</v>
      </c>
      <c r="G22" t="s">
        <v>34</v>
      </c>
      <c r="H22">
        <v>6</v>
      </c>
      <c r="I22">
        <v>2</v>
      </c>
      <c r="J22">
        <v>1</v>
      </c>
      <c r="K22">
        <v>0</v>
      </c>
      <c r="L22">
        <v>0</v>
      </c>
      <c r="M22" s="3">
        <v>11</v>
      </c>
    </row>
    <row r="23" spans="1:19" x14ac:dyDescent="0.3">
      <c r="A23" s="6" t="s">
        <v>283</v>
      </c>
      <c r="B23" t="s">
        <v>28</v>
      </c>
      <c r="C23" t="s">
        <v>22</v>
      </c>
      <c r="D23" s="18" t="s">
        <v>284</v>
      </c>
      <c r="E23" s="10" t="s">
        <v>285</v>
      </c>
      <c r="F23" t="s">
        <v>32</v>
      </c>
      <c r="G23" t="s">
        <v>286</v>
      </c>
      <c r="H23">
        <v>10</v>
      </c>
      <c r="I23">
        <v>4</v>
      </c>
      <c r="J23">
        <v>2</v>
      </c>
      <c r="K23">
        <v>0</v>
      </c>
      <c r="L23">
        <v>0</v>
      </c>
      <c r="M23" s="3">
        <v>12</v>
      </c>
    </row>
    <row r="24" spans="1:19" x14ac:dyDescent="0.3">
      <c r="A24" t="s">
        <v>35</v>
      </c>
      <c r="B24" t="s">
        <v>28</v>
      </c>
      <c r="C24" t="s">
        <v>29</v>
      </c>
      <c r="D24" t="s">
        <v>36</v>
      </c>
      <c r="E24" t="s">
        <v>37</v>
      </c>
      <c r="F24" t="s">
        <v>38</v>
      </c>
      <c r="G24" t="s">
        <v>39</v>
      </c>
      <c r="H24">
        <v>10</v>
      </c>
      <c r="I24">
        <v>4</v>
      </c>
      <c r="J24">
        <v>2</v>
      </c>
      <c r="K24">
        <v>0</v>
      </c>
      <c r="L24">
        <v>2</v>
      </c>
      <c r="O24">
        <v>15</v>
      </c>
      <c r="R24">
        <v>25</v>
      </c>
      <c r="S24" s="1"/>
    </row>
    <row r="25" spans="1:19" x14ac:dyDescent="0.3">
      <c r="A25" t="s">
        <v>164</v>
      </c>
      <c r="B25" t="s">
        <v>28</v>
      </c>
      <c r="C25" t="s">
        <v>22</v>
      </c>
      <c r="D25" t="s">
        <v>165</v>
      </c>
      <c r="E25" t="s">
        <v>166</v>
      </c>
      <c r="F25" t="s">
        <v>32</v>
      </c>
      <c r="G25" t="s">
        <v>167</v>
      </c>
      <c r="H25">
        <v>25</v>
      </c>
      <c r="I25">
        <v>0</v>
      </c>
      <c r="J25">
        <v>0</v>
      </c>
      <c r="K25">
        <v>0</v>
      </c>
      <c r="L25">
        <v>0</v>
      </c>
      <c r="O25">
        <v>12</v>
      </c>
      <c r="R25">
        <v>5</v>
      </c>
      <c r="S25" s="1"/>
    </row>
    <row r="26" spans="1:19" x14ac:dyDescent="0.3">
      <c r="A26" t="s">
        <v>183</v>
      </c>
      <c r="B26" t="s">
        <v>28</v>
      </c>
      <c r="C26" t="s">
        <v>22</v>
      </c>
      <c r="D26" t="s">
        <v>184</v>
      </c>
      <c r="E26" t="s">
        <v>185</v>
      </c>
      <c r="F26" t="s">
        <v>186</v>
      </c>
      <c r="G26" t="s">
        <v>516</v>
      </c>
      <c r="H26">
        <v>40</v>
      </c>
      <c r="I26">
        <v>14</v>
      </c>
      <c r="J26">
        <v>7</v>
      </c>
      <c r="K26">
        <v>0</v>
      </c>
      <c r="L26">
        <v>0</v>
      </c>
      <c r="O26">
        <v>12</v>
      </c>
      <c r="R26">
        <v>8</v>
      </c>
      <c r="S26" s="1"/>
    </row>
    <row r="27" spans="1:19" x14ac:dyDescent="0.3">
      <c r="A27" t="s">
        <v>193</v>
      </c>
      <c r="B27" t="s">
        <v>28</v>
      </c>
      <c r="C27" t="s">
        <v>22</v>
      </c>
      <c r="D27" t="s">
        <v>194</v>
      </c>
      <c r="E27" t="s">
        <v>195</v>
      </c>
      <c r="F27" t="s">
        <v>43</v>
      </c>
      <c r="G27" t="s">
        <v>196</v>
      </c>
      <c r="H27">
        <v>10</v>
      </c>
      <c r="I27">
        <v>4</v>
      </c>
      <c r="J27">
        <v>2</v>
      </c>
      <c r="K27">
        <v>2</v>
      </c>
      <c r="L27">
        <v>0</v>
      </c>
      <c r="O27">
        <v>6</v>
      </c>
      <c r="R27">
        <v>13</v>
      </c>
      <c r="S27" s="1"/>
    </row>
    <row r="28" spans="1:19" x14ac:dyDescent="0.3">
      <c r="A28" s="2" t="s">
        <v>517</v>
      </c>
      <c r="B28" t="s">
        <v>28</v>
      </c>
      <c r="C28" t="s">
        <v>22</v>
      </c>
      <c r="D28" t="s">
        <v>198</v>
      </c>
      <c r="E28" t="s">
        <v>199</v>
      </c>
      <c r="F28" t="s">
        <v>200</v>
      </c>
      <c r="G28" t="s">
        <v>201</v>
      </c>
      <c r="H28">
        <v>75</v>
      </c>
      <c r="I28">
        <v>28</v>
      </c>
      <c r="J28">
        <v>14</v>
      </c>
      <c r="K28">
        <v>0</v>
      </c>
      <c r="L28">
        <v>2</v>
      </c>
      <c r="O28">
        <v>31</v>
      </c>
      <c r="R28">
        <v>19</v>
      </c>
      <c r="S28" s="1"/>
    </row>
    <row r="29" spans="1:19" x14ac:dyDescent="0.3">
      <c r="A29" t="s">
        <v>219</v>
      </c>
      <c r="B29" t="s">
        <v>28</v>
      </c>
      <c r="C29" t="s">
        <v>22</v>
      </c>
      <c r="D29" t="s">
        <v>220</v>
      </c>
      <c r="E29" t="s">
        <v>221</v>
      </c>
      <c r="F29" t="s">
        <v>25</v>
      </c>
      <c r="G29" t="s">
        <v>520</v>
      </c>
      <c r="H29">
        <v>30</v>
      </c>
      <c r="I29">
        <v>0</v>
      </c>
      <c r="J29">
        <v>0</v>
      </c>
      <c r="K29">
        <v>0</v>
      </c>
      <c r="L29">
        <v>0</v>
      </c>
      <c r="O29">
        <v>9</v>
      </c>
      <c r="R29">
        <v>19</v>
      </c>
      <c r="S29" s="1"/>
    </row>
    <row r="30" spans="1:19" x14ac:dyDescent="0.3">
      <c r="A30" t="s">
        <v>230</v>
      </c>
      <c r="B30" t="s">
        <v>28</v>
      </c>
      <c r="C30" t="s">
        <v>22</v>
      </c>
      <c r="D30" t="s">
        <v>231</v>
      </c>
      <c r="E30" t="s">
        <v>232</v>
      </c>
      <c r="F30" t="s">
        <v>92</v>
      </c>
      <c r="G30" t="s">
        <v>233</v>
      </c>
      <c r="H30">
        <v>25</v>
      </c>
      <c r="I30">
        <v>10</v>
      </c>
      <c r="J30">
        <v>5</v>
      </c>
      <c r="K30">
        <v>0</v>
      </c>
      <c r="L30">
        <v>3</v>
      </c>
      <c r="O30">
        <v>6</v>
      </c>
      <c r="R30">
        <v>15</v>
      </c>
      <c r="S30" s="1"/>
    </row>
    <row r="31" spans="1:19" x14ac:dyDescent="0.3">
      <c r="A31" t="s">
        <v>243</v>
      </c>
      <c r="B31" t="s">
        <v>28</v>
      </c>
      <c r="C31" t="s">
        <v>22</v>
      </c>
      <c r="D31" t="s">
        <v>244</v>
      </c>
      <c r="E31" t="s">
        <v>245</v>
      </c>
      <c r="F31" t="s">
        <v>246</v>
      </c>
      <c r="G31" t="s">
        <v>247</v>
      </c>
      <c r="H31">
        <v>10</v>
      </c>
      <c r="I31">
        <v>4</v>
      </c>
      <c r="J31">
        <v>3</v>
      </c>
      <c r="K31">
        <v>2</v>
      </c>
      <c r="L31">
        <v>2</v>
      </c>
      <c r="O31">
        <v>5</v>
      </c>
      <c r="R31">
        <v>13</v>
      </c>
      <c r="S31" s="1"/>
    </row>
    <row r="32" spans="1:19" x14ac:dyDescent="0.3">
      <c r="A32" s="6" t="s">
        <v>275</v>
      </c>
      <c r="B32" t="s">
        <v>28</v>
      </c>
      <c r="C32" t="s">
        <v>22</v>
      </c>
      <c r="D32" t="s">
        <v>276</v>
      </c>
      <c r="E32" t="s">
        <v>277</v>
      </c>
      <c r="F32" t="s">
        <v>38</v>
      </c>
      <c r="G32" t="s">
        <v>278</v>
      </c>
      <c r="H32">
        <v>40</v>
      </c>
      <c r="I32">
        <v>16</v>
      </c>
      <c r="J32">
        <v>8</v>
      </c>
      <c r="K32">
        <v>0</v>
      </c>
      <c r="L32">
        <v>0</v>
      </c>
      <c r="O32">
        <v>21</v>
      </c>
      <c r="R32">
        <v>16</v>
      </c>
      <c r="S32" s="1"/>
    </row>
    <row r="33" spans="1:19" x14ac:dyDescent="0.3">
      <c r="A33" t="s">
        <v>431</v>
      </c>
      <c r="B33" t="s">
        <v>28</v>
      </c>
      <c r="C33" t="s">
        <v>29</v>
      </c>
      <c r="D33" t="s">
        <v>432</v>
      </c>
      <c r="E33" t="s">
        <v>433</v>
      </c>
      <c r="F33" t="s">
        <v>92</v>
      </c>
      <c r="G33" t="s">
        <v>434</v>
      </c>
      <c r="H33">
        <v>10</v>
      </c>
      <c r="I33">
        <v>4</v>
      </c>
      <c r="J33">
        <v>2</v>
      </c>
      <c r="K33">
        <v>4</v>
      </c>
      <c r="L33">
        <v>0</v>
      </c>
      <c r="O33">
        <v>14</v>
      </c>
      <c r="R33">
        <v>21</v>
      </c>
      <c r="S33" s="1"/>
    </row>
    <row r="34" spans="1:19" x14ac:dyDescent="0.3">
      <c r="A34" t="s">
        <v>117</v>
      </c>
      <c r="B34" t="s">
        <v>28</v>
      </c>
      <c r="D34" s="18" t="s">
        <v>118</v>
      </c>
      <c r="E34" s="10" t="s">
        <v>119</v>
      </c>
    </row>
    <row r="35" spans="1:19" x14ac:dyDescent="0.3">
      <c r="A35" s="7" t="s">
        <v>295</v>
      </c>
      <c r="B35" t="s">
        <v>28</v>
      </c>
      <c r="C35" t="s">
        <v>29</v>
      </c>
      <c r="D35" s="18" t="s">
        <v>296</v>
      </c>
      <c r="E35" s="10" t="s">
        <v>297</v>
      </c>
    </row>
    <row r="36" spans="1:19" x14ac:dyDescent="0.3">
      <c r="A36" t="s">
        <v>176</v>
      </c>
      <c r="B36" t="s">
        <v>28</v>
      </c>
      <c r="C36" t="s">
        <v>22</v>
      </c>
      <c r="D36" s="18" t="s">
        <v>177</v>
      </c>
      <c r="E36" s="10" t="s">
        <v>178</v>
      </c>
      <c r="F36" t="s">
        <v>38</v>
      </c>
      <c r="G36" t="s">
        <v>515</v>
      </c>
      <c r="H36">
        <v>36</v>
      </c>
      <c r="I36">
        <v>12</v>
      </c>
      <c r="J36">
        <v>6</v>
      </c>
      <c r="K36">
        <v>0</v>
      </c>
      <c r="L36">
        <v>5</v>
      </c>
    </row>
    <row r="37" spans="1:19" x14ac:dyDescent="0.3">
      <c r="A37" s="6" t="s">
        <v>443</v>
      </c>
      <c r="B37" t="s">
        <v>28</v>
      </c>
      <c r="C37" t="s">
        <v>29</v>
      </c>
      <c r="D37" s="18" t="s">
        <v>444</v>
      </c>
      <c r="E37" s="10" t="s">
        <v>445</v>
      </c>
      <c r="F37" t="s">
        <v>279</v>
      </c>
      <c r="G37" t="s">
        <v>196</v>
      </c>
      <c r="H37">
        <v>14</v>
      </c>
      <c r="I37">
        <v>4</v>
      </c>
      <c r="J37">
        <v>2</v>
      </c>
      <c r="K37">
        <v>0</v>
      </c>
      <c r="L37">
        <v>0</v>
      </c>
    </row>
    <row r="38" spans="1:19" x14ac:dyDescent="0.3">
      <c r="A38" s="7" t="s">
        <v>125</v>
      </c>
      <c r="B38" t="s">
        <v>28</v>
      </c>
      <c r="C38" t="s">
        <v>22</v>
      </c>
      <c r="D38" s="18" t="s">
        <v>126</v>
      </c>
      <c r="E38" s="10" t="s">
        <v>127</v>
      </c>
      <c r="F38" t="s">
        <v>32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9" x14ac:dyDescent="0.3">
      <c r="A39" s="6" t="s">
        <v>275</v>
      </c>
      <c r="B39" t="s">
        <v>21</v>
      </c>
      <c r="C39" t="s">
        <v>22</v>
      </c>
      <c r="D39" t="s">
        <v>276</v>
      </c>
      <c r="E39" t="s">
        <v>277</v>
      </c>
      <c r="F39" t="s">
        <v>279</v>
      </c>
      <c r="G39" t="s">
        <v>280</v>
      </c>
      <c r="H39">
        <v>30</v>
      </c>
      <c r="I39">
        <v>12</v>
      </c>
      <c r="J39">
        <v>6</v>
      </c>
      <c r="K39">
        <v>0</v>
      </c>
      <c r="L39">
        <v>0</v>
      </c>
      <c r="M39" s="16">
        <v>5</v>
      </c>
      <c r="O39">
        <v>21</v>
      </c>
      <c r="R39">
        <v>16</v>
      </c>
      <c r="S39" s="1"/>
    </row>
    <row r="40" spans="1:19" x14ac:dyDescent="0.3">
      <c r="A40" s="6" t="s">
        <v>275</v>
      </c>
      <c r="B40" t="s">
        <v>21</v>
      </c>
      <c r="C40" t="s">
        <v>22</v>
      </c>
      <c r="D40" t="s">
        <v>276</v>
      </c>
      <c r="E40" t="s">
        <v>277</v>
      </c>
      <c r="F40" t="s">
        <v>279</v>
      </c>
      <c r="G40" t="s">
        <v>281</v>
      </c>
      <c r="H40">
        <v>50</v>
      </c>
      <c r="I40">
        <v>20</v>
      </c>
      <c r="J40">
        <v>10</v>
      </c>
      <c r="K40">
        <v>0</v>
      </c>
      <c r="L40">
        <v>0</v>
      </c>
      <c r="M40" s="16">
        <v>5</v>
      </c>
      <c r="O40">
        <v>21</v>
      </c>
      <c r="R40">
        <v>16</v>
      </c>
      <c r="S40" s="1"/>
    </row>
    <row r="41" spans="1:19" x14ac:dyDescent="0.3">
      <c r="A41" s="6" t="s">
        <v>83</v>
      </c>
      <c r="B41" t="s">
        <v>21</v>
      </c>
      <c r="C41" t="s">
        <v>22</v>
      </c>
      <c r="D41" s="18" t="s">
        <v>84</v>
      </c>
      <c r="E41" s="10" t="s">
        <v>85</v>
      </c>
      <c r="F41" t="s">
        <v>25</v>
      </c>
      <c r="G41" t="s">
        <v>86</v>
      </c>
      <c r="H41">
        <v>32</v>
      </c>
      <c r="I41">
        <v>10</v>
      </c>
      <c r="J41">
        <v>5</v>
      </c>
      <c r="K41">
        <v>0</v>
      </c>
      <c r="L41">
        <v>0</v>
      </c>
      <c r="M41" s="16">
        <v>2</v>
      </c>
      <c r="S41" s="1"/>
    </row>
    <row r="42" spans="1:19" x14ac:dyDescent="0.3">
      <c r="A42" t="s">
        <v>45</v>
      </c>
      <c r="B42" t="s">
        <v>21</v>
      </c>
      <c r="C42" t="s">
        <v>22</v>
      </c>
      <c r="D42" s="10" t="s">
        <v>41</v>
      </c>
      <c r="E42" s="10" t="s">
        <v>42</v>
      </c>
      <c r="F42" t="s">
        <v>43</v>
      </c>
      <c r="G42" t="s">
        <v>46</v>
      </c>
      <c r="H42">
        <v>55</v>
      </c>
      <c r="I42">
        <v>20</v>
      </c>
      <c r="J42">
        <v>9</v>
      </c>
      <c r="K42">
        <v>0</v>
      </c>
      <c r="L42">
        <v>2</v>
      </c>
      <c r="M42" s="16">
        <v>4</v>
      </c>
      <c r="S42" s="1"/>
    </row>
    <row r="43" spans="1:19" x14ac:dyDescent="0.3">
      <c r="A43" t="s">
        <v>275</v>
      </c>
      <c r="B43" t="s">
        <v>21</v>
      </c>
      <c r="C43" t="s">
        <v>22</v>
      </c>
      <c r="D43" t="s">
        <v>276</v>
      </c>
      <c r="E43" t="s">
        <v>277</v>
      </c>
      <c r="F43" t="s">
        <v>279</v>
      </c>
      <c r="G43" t="s">
        <v>282</v>
      </c>
      <c r="H43">
        <v>30</v>
      </c>
      <c r="I43">
        <v>12</v>
      </c>
      <c r="J43">
        <v>6</v>
      </c>
      <c r="K43">
        <v>0</v>
      </c>
      <c r="L43">
        <v>0</v>
      </c>
      <c r="M43" s="16">
        <v>5</v>
      </c>
      <c r="N43" s="3">
        <v>10</v>
      </c>
      <c r="O43">
        <v>3</v>
      </c>
      <c r="R43">
        <v>11</v>
      </c>
      <c r="S43" s="1"/>
    </row>
    <row r="44" spans="1:19" x14ac:dyDescent="0.3">
      <c r="A44" t="s">
        <v>298</v>
      </c>
      <c r="B44" t="s">
        <v>21</v>
      </c>
      <c r="C44" t="s">
        <v>22</v>
      </c>
      <c r="D44" t="s">
        <v>299</v>
      </c>
      <c r="E44" t="s">
        <v>300</v>
      </c>
      <c r="F44" t="s">
        <v>301</v>
      </c>
      <c r="G44" t="s">
        <v>302</v>
      </c>
      <c r="H44">
        <v>20</v>
      </c>
      <c r="I44">
        <v>0</v>
      </c>
      <c r="J44">
        <v>0</v>
      </c>
      <c r="K44">
        <v>0</v>
      </c>
      <c r="L44">
        <v>0</v>
      </c>
      <c r="M44" s="16">
        <v>5</v>
      </c>
      <c r="O44">
        <v>7.5</v>
      </c>
      <c r="P44">
        <v>4.5</v>
      </c>
      <c r="Q44">
        <v>7</v>
      </c>
      <c r="R44">
        <v>2</v>
      </c>
      <c r="S44" s="1"/>
    </row>
    <row r="45" spans="1:19" x14ac:dyDescent="0.3">
      <c r="A45" s="6" t="s">
        <v>58</v>
      </c>
      <c r="B45" t="s">
        <v>21</v>
      </c>
      <c r="C45" t="s">
        <v>29</v>
      </c>
      <c r="D45" s="18" t="s">
        <v>59</v>
      </c>
      <c r="G45" t="s">
        <v>106</v>
      </c>
      <c r="H45">
        <v>13</v>
      </c>
      <c r="I45">
        <v>15</v>
      </c>
      <c r="J45">
        <v>5</v>
      </c>
      <c r="K45">
        <v>0</v>
      </c>
      <c r="L45">
        <v>0</v>
      </c>
      <c r="M45" s="16">
        <v>6</v>
      </c>
      <c r="N45" s="3">
        <v>10</v>
      </c>
      <c r="S45" s="1"/>
    </row>
    <row r="46" spans="1:19" x14ac:dyDescent="0.3">
      <c r="A46" t="s">
        <v>87</v>
      </c>
      <c r="B46" t="s">
        <v>21</v>
      </c>
      <c r="C46" t="s">
        <v>22</v>
      </c>
      <c r="D46" s="18" t="s">
        <v>84</v>
      </c>
      <c r="E46" s="10" t="s">
        <v>85</v>
      </c>
      <c r="F46" t="s">
        <v>25</v>
      </c>
      <c r="G46" t="s">
        <v>88</v>
      </c>
      <c r="H46">
        <v>32</v>
      </c>
      <c r="I46">
        <v>10</v>
      </c>
      <c r="J46">
        <v>5</v>
      </c>
      <c r="K46">
        <v>0</v>
      </c>
      <c r="L46">
        <v>1</v>
      </c>
      <c r="M46" s="3">
        <v>7</v>
      </c>
      <c r="S46" s="1"/>
    </row>
    <row r="47" spans="1:19" x14ac:dyDescent="0.3">
      <c r="A47" t="s">
        <v>287</v>
      </c>
      <c r="B47" t="s">
        <v>21</v>
      </c>
      <c r="C47" t="s">
        <v>29</v>
      </c>
      <c r="D47" s="18" t="s">
        <v>288</v>
      </c>
      <c r="E47" s="10" t="s">
        <v>289</v>
      </c>
      <c r="F47" t="s">
        <v>25</v>
      </c>
      <c r="G47" t="s">
        <v>290</v>
      </c>
      <c r="H47">
        <v>20</v>
      </c>
      <c r="I47">
        <v>0</v>
      </c>
      <c r="J47">
        <v>0</v>
      </c>
      <c r="K47">
        <v>0</v>
      </c>
      <c r="L47">
        <v>0</v>
      </c>
      <c r="M47" s="3">
        <v>7</v>
      </c>
    </row>
    <row r="48" spans="1:19" x14ac:dyDescent="0.3">
      <c r="A48" s="6" t="s">
        <v>392</v>
      </c>
      <c r="B48" t="s">
        <v>21</v>
      </c>
      <c r="D48" s="18" t="s">
        <v>393</v>
      </c>
      <c r="E48" s="10" t="s">
        <v>394</v>
      </c>
      <c r="F48" t="s">
        <v>32</v>
      </c>
      <c r="G48" t="s">
        <v>395</v>
      </c>
      <c r="H48">
        <v>6</v>
      </c>
      <c r="I48">
        <v>2</v>
      </c>
      <c r="J48">
        <v>1</v>
      </c>
      <c r="K48">
        <v>2</v>
      </c>
      <c r="L48">
        <v>0</v>
      </c>
      <c r="M48" s="3">
        <v>9</v>
      </c>
    </row>
    <row r="49" spans="1:19" x14ac:dyDescent="0.3">
      <c r="A49" t="s">
        <v>303</v>
      </c>
      <c r="B49" t="s">
        <v>21</v>
      </c>
      <c r="C49" t="s">
        <v>29</v>
      </c>
      <c r="D49" t="s">
        <v>304</v>
      </c>
      <c r="E49" t="s">
        <v>305</v>
      </c>
      <c r="F49" t="s">
        <v>306</v>
      </c>
      <c r="G49" t="s">
        <v>307</v>
      </c>
      <c r="H49">
        <v>30</v>
      </c>
      <c r="I49">
        <v>12</v>
      </c>
      <c r="J49">
        <v>6</v>
      </c>
      <c r="K49">
        <v>0</v>
      </c>
      <c r="L49">
        <v>4</v>
      </c>
      <c r="M49" s="3">
        <v>10</v>
      </c>
      <c r="O49">
        <v>12</v>
      </c>
      <c r="P49">
        <v>7</v>
      </c>
      <c r="Q49">
        <v>11.5</v>
      </c>
      <c r="R49">
        <v>7</v>
      </c>
      <c r="S49" s="1"/>
    </row>
    <row r="50" spans="1:19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13</v>
      </c>
      <c r="N50" t="s">
        <v>14</v>
      </c>
      <c r="O50" t="s">
        <v>15</v>
      </c>
      <c r="P50" t="s">
        <v>16</v>
      </c>
      <c r="Q50" t="s">
        <v>17</v>
      </c>
      <c r="R50" t="s">
        <v>18</v>
      </c>
      <c r="S50" t="s">
        <v>19</v>
      </c>
    </row>
    <row r="51" spans="1:19" x14ac:dyDescent="0.3">
      <c r="A51" t="s">
        <v>103</v>
      </c>
      <c r="B51" t="s">
        <v>28</v>
      </c>
      <c r="C51" t="s">
        <v>22</v>
      </c>
      <c r="D51" s="18" t="s">
        <v>104</v>
      </c>
      <c r="E51" s="10" t="s">
        <v>105</v>
      </c>
      <c r="F51" t="s">
        <v>43</v>
      </c>
      <c r="G51" t="s">
        <v>106</v>
      </c>
      <c r="H51">
        <v>13</v>
      </c>
      <c r="I51">
        <v>4</v>
      </c>
      <c r="J51">
        <v>2</v>
      </c>
      <c r="K51">
        <v>0</v>
      </c>
      <c r="L51">
        <v>1</v>
      </c>
      <c r="M51" s="16">
        <v>6</v>
      </c>
    </row>
    <row r="52" spans="1:19" x14ac:dyDescent="0.3">
      <c r="A52" s="38" t="s">
        <v>396</v>
      </c>
      <c r="B52" t="s">
        <v>28</v>
      </c>
      <c r="C52" t="s">
        <v>22</v>
      </c>
      <c r="D52" s="18" t="s">
        <v>397</v>
      </c>
      <c r="E52" s="10" t="s">
        <v>398</v>
      </c>
      <c r="F52" t="s">
        <v>279</v>
      </c>
      <c r="G52" t="s">
        <v>400</v>
      </c>
      <c r="H52">
        <v>9</v>
      </c>
      <c r="I52">
        <v>4</v>
      </c>
      <c r="J52">
        <v>2</v>
      </c>
      <c r="K52">
        <v>0</v>
      </c>
      <c r="L52">
        <v>0</v>
      </c>
      <c r="M52" s="16">
        <v>6</v>
      </c>
    </row>
    <row r="53" spans="1:19" x14ac:dyDescent="0.3">
      <c r="A53" t="s">
        <v>488</v>
      </c>
      <c r="B53" t="s">
        <v>28</v>
      </c>
      <c r="C53" t="s">
        <v>29</v>
      </c>
      <c r="D53" t="s">
        <v>489</v>
      </c>
      <c r="E53" t="s">
        <v>490</v>
      </c>
      <c r="F53" t="s">
        <v>155</v>
      </c>
      <c r="G53" t="s">
        <v>492</v>
      </c>
      <c r="H53">
        <v>9</v>
      </c>
      <c r="I53">
        <v>3</v>
      </c>
      <c r="J53">
        <v>1</v>
      </c>
      <c r="K53">
        <v>0</v>
      </c>
      <c r="L53">
        <v>1</v>
      </c>
      <c r="M53" s="16">
        <v>6</v>
      </c>
      <c r="O53">
        <v>9</v>
      </c>
      <c r="R53">
        <v>19</v>
      </c>
      <c r="S53" s="1"/>
    </row>
    <row r="54" spans="1:19" x14ac:dyDescent="0.3">
      <c r="A54" t="s">
        <v>431</v>
      </c>
      <c r="B54" t="s">
        <v>28</v>
      </c>
      <c r="C54" t="s">
        <v>29</v>
      </c>
      <c r="D54" t="s">
        <v>432</v>
      </c>
      <c r="E54" t="s">
        <v>433</v>
      </c>
      <c r="F54" t="s">
        <v>92</v>
      </c>
      <c r="G54" t="s">
        <v>434</v>
      </c>
      <c r="H54">
        <v>10</v>
      </c>
      <c r="I54">
        <v>4</v>
      </c>
      <c r="J54">
        <v>2</v>
      </c>
      <c r="K54">
        <v>4</v>
      </c>
      <c r="L54">
        <v>0</v>
      </c>
      <c r="O54">
        <v>14</v>
      </c>
      <c r="R54">
        <v>21</v>
      </c>
      <c r="S54" s="1"/>
    </row>
    <row r="55" spans="1:19" x14ac:dyDescent="0.3">
      <c r="A55" t="s">
        <v>117</v>
      </c>
      <c r="B55" t="s">
        <v>28</v>
      </c>
      <c r="D55" s="18" t="s">
        <v>118</v>
      </c>
      <c r="E55" s="10" t="s">
        <v>119</v>
      </c>
    </row>
    <row r="56" spans="1:19" x14ac:dyDescent="0.3">
      <c r="A56" t="s">
        <v>298</v>
      </c>
      <c r="B56" t="s">
        <v>21</v>
      </c>
      <c r="C56" t="s">
        <v>22</v>
      </c>
      <c r="D56" t="s">
        <v>299</v>
      </c>
      <c r="E56" t="s">
        <v>300</v>
      </c>
      <c r="F56" t="s">
        <v>301</v>
      </c>
      <c r="G56" t="s">
        <v>302</v>
      </c>
      <c r="H56">
        <v>20</v>
      </c>
      <c r="I56">
        <v>0</v>
      </c>
      <c r="J56">
        <v>0</v>
      </c>
      <c r="K56">
        <v>0</v>
      </c>
      <c r="L56">
        <v>0</v>
      </c>
      <c r="M56" s="16">
        <v>5</v>
      </c>
      <c r="O56">
        <v>7.5</v>
      </c>
      <c r="P56">
        <v>4.5</v>
      </c>
      <c r="Q56">
        <v>7</v>
      </c>
      <c r="R56">
        <v>2</v>
      </c>
      <c r="S56" s="1"/>
    </row>
    <row r="57" spans="1:19" x14ac:dyDescent="0.3">
      <c r="A57" s="6" t="s">
        <v>58</v>
      </c>
      <c r="B57" t="s">
        <v>21</v>
      </c>
      <c r="C57" t="s">
        <v>29</v>
      </c>
      <c r="D57" s="18" t="s">
        <v>59</v>
      </c>
      <c r="G57" t="s">
        <v>106</v>
      </c>
      <c r="H57">
        <v>13</v>
      </c>
      <c r="I57">
        <v>15</v>
      </c>
      <c r="J57">
        <v>5</v>
      </c>
      <c r="K57">
        <v>0</v>
      </c>
      <c r="L57">
        <v>0</v>
      </c>
      <c r="M57" s="16">
        <v>6</v>
      </c>
      <c r="N57" s="3">
        <v>10</v>
      </c>
      <c r="S57" s="1"/>
    </row>
    <row r="58" spans="1:19" x14ac:dyDescent="0.3">
      <c r="A58" t="s">
        <v>87</v>
      </c>
      <c r="B58" t="s">
        <v>21</v>
      </c>
      <c r="C58" t="s">
        <v>22</v>
      </c>
      <c r="D58" s="18" t="s">
        <v>84</v>
      </c>
      <c r="E58" s="10" t="s">
        <v>85</v>
      </c>
      <c r="F58" t="s">
        <v>25</v>
      </c>
      <c r="G58" t="s">
        <v>88</v>
      </c>
      <c r="H58">
        <v>32</v>
      </c>
      <c r="I58">
        <v>10</v>
      </c>
      <c r="J58">
        <v>5</v>
      </c>
      <c r="K58">
        <v>0</v>
      </c>
      <c r="L58">
        <v>1</v>
      </c>
      <c r="M58" s="3">
        <v>7</v>
      </c>
      <c r="S58" s="1"/>
    </row>
    <row r="59" spans="1:19" x14ac:dyDescent="0.3">
      <c r="A59" t="s">
        <v>197</v>
      </c>
      <c r="B59" t="s">
        <v>21</v>
      </c>
      <c r="D59" t="s">
        <v>198</v>
      </c>
      <c r="E59" t="s">
        <v>199</v>
      </c>
      <c r="F59" t="s">
        <v>92</v>
      </c>
      <c r="G59" t="s">
        <v>203</v>
      </c>
      <c r="H59">
        <v>50</v>
      </c>
      <c r="I59">
        <v>0</v>
      </c>
      <c r="J59">
        <v>0</v>
      </c>
      <c r="K59">
        <v>0</v>
      </c>
      <c r="L59">
        <v>0</v>
      </c>
      <c r="O59">
        <v>3.5</v>
      </c>
      <c r="P59">
        <v>14</v>
      </c>
      <c r="Q59">
        <v>7.5</v>
      </c>
      <c r="R59">
        <v>10.5</v>
      </c>
      <c r="S59" s="1"/>
    </row>
    <row r="60" spans="1:19" x14ac:dyDescent="0.3">
      <c r="A60" t="s">
        <v>208</v>
      </c>
      <c r="B60" t="s">
        <v>21</v>
      </c>
      <c r="C60" t="s">
        <v>22</v>
      </c>
      <c r="D60" t="s">
        <v>209</v>
      </c>
      <c r="E60" t="s">
        <v>210</v>
      </c>
      <c r="F60" t="s">
        <v>211</v>
      </c>
      <c r="G60" t="s">
        <v>212</v>
      </c>
      <c r="H60">
        <f>H51+H52+H53+H54+H55+H56+H57+H58</f>
        <v>106</v>
      </c>
      <c r="I60">
        <v>10</v>
      </c>
      <c r="J60">
        <v>4</v>
      </c>
      <c r="K60">
        <v>0</v>
      </c>
      <c r="L60">
        <v>1</v>
      </c>
      <c r="O60">
        <v>10.5</v>
      </c>
      <c r="P60">
        <v>6.5</v>
      </c>
      <c r="Q60">
        <v>10</v>
      </c>
      <c r="R60">
        <v>6.5</v>
      </c>
    </row>
    <row r="61" spans="1:19" x14ac:dyDescent="0.3">
      <c r="A61" t="s">
        <v>208</v>
      </c>
      <c r="B61" t="s">
        <v>21</v>
      </c>
      <c r="C61" t="s">
        <v>22</v>
      </c>
      <c r="D61" t="s">
        <v>209</v>
      </c>
      <c r="E61" t="s">
        <v>213</v>
      </c>
      <c r="F61" t="s">
        <v>211</v>
      </c>
      <c r="G61" t="s">
        <v>214</v>
      </c>
      <c r="I61">
        <v>8</v>
      </c>
      <c r="J61">
        <v>6</v>
      </c>
      <c r="K61">
        <v>0</v>
      </c>
      <c r="L61">
        <v>1</v>
      </c>
      <c r="O61">
        <v>16</v>
      </c>
      <c r="P61">
        <v>11.5</v>
      </c>
      <c r="Q61">
        <v>16</v>
      </c>
      <c r="R61">
        <v>11</v>
      </c>
    </row>
    <row r="62" spans="1:19" x14ac:dyDescent="0.3">
      <c r="A62" t="s">
        <v>208</v>
      </c>
      <c r="B62" t="s">
        <v>21</v>
      </c>
      <c r="C62" t="s">
        <v>22</v>
      </c>
      <c r="D62" t="s">
        <v>209</v>
      </c>
      <c r="E62" t="s">
        <v>215</v>
      </c>
      <c r="F62" t="s">
        <v>211</v>
      </c>
      <c r="G62" t="s">
        <v>216</v>
      </c>
      <c r="I62">
        <v>7</v>
      </c>
      <c r="J62">
        <v>3</v>
      </c>
      <c r="K62">
        <v>0</v>
      </c>
      <c r="L62">
        <v>0</v>
      </c>
      <c r="O62">
        <v>17.5</v>
      </c>
      <c r="P62">
        <v>12</v>
      </c>
      <c r="Q62">
        <v>17.5</v>
      </c>
      <c r="R62">
        <v>12.5</v>
      </c>
    </row>
    <row r="63" spans="1:19" x14ac:dyDescent="0.3">
      <c r="A63" t="s">
        <v>208</v>
      </c>
      <c r="B63" t="s">
        <v>21</v>
      </c>
      <c r="C63" t="s">
        <v>22</v>
      </c>
      <c r="D63" t="s">
        <v>209</v>
      </c>
      <c r="E63" t="s">
        <v>213</v>
      </c>
      <c r="F63" t="s">
        <v>211</v>
      </c>
      <c r="G63" t="s">
        <v>217</v>
      </c>
      <c r="I63">
        <v>16</v>
      </c>
      <c r="J63">
        <v>4</v>
      </c>
      <c r="K63">
        <v>0</v>
      </c>
      <c r="L63">
        <v>1</v>
      </c>
      <c r="O63">
        <v>20.5</v>
      </c>
      <c r="P63">
        <v>13</v>
      </c>
      <c r="Q63">
        <v>20</v>
      </c>
      <c r="R63">
        <v>15</v>
      </c>
    </row>
    <row r="64" spans="1:19" x14ac:dyDescent="0.3">
      <c r="A64" t="s">
        <v>208</v>
      </c>
      <c r="B64" t="s">
        <v>21</v>
      </c>
      <c r="C64" t="s">
        <v>22</v>
      </c>
      <c r="D64" t="s">
        <v>209</v>
      </c>
      <c r="E64" t="s">
        <v>215</v>
      </c>
      <c r="F64" t="s">
        <v>211</v>
      </c>
      <c r="G64" t="s">
        <v>218</v>
      </c>
      <c r="I64">
        <v>16</v>
      </c>
      <c r="J64">
        <v>4</v>
      </c>
      <c r="K64">
        <v>0</v>
      </c>
      <c r="L64">
        <v>1</v>
      </c>
      <c r="O64">
        <v>23</v>
      </c>
      <c r="P64">
        <v>15</v>
      </c>
      <c r="Q64">
        <v>22.5</v>
      </c>
      <c r="R64">
        <v>16.5</v>
      </c>
    </row>
    <row r="65" spans="1:19" x14ac:dyDescent="0.3">
      <c r="A65" t="s">
        <v>234</v>
      </c>
      <c r="B65" t="s">
        <v>21</v>
      </c>
      <c r="C65" t="s">
        <v>22</v>
      </c>
      <c r="D65" t="s">
        <v>235</v>
      </c>
      <c r="E65" t="s">
        <v>236</v>
      </c>
      <c r="F65" t="s">
        <v>38</v>
      </c>
      <c r="G65" t="s">
        <v>237</v>
      </c>
      <c r="H65">
        <v>104</v>
      </c>
      <c r="I65">
        <v>0</v>
      </c>
      <c r="J65">
        <v>0</v>
      </c>
      <c r="K65">
        <v>0</v>
      </c>
      <c r="L65">
        <v>0</v>
      </c>
      <c r="O65">
        <v>19</v>
      </c>
      <c r="R65">
        <v>12</v>
      </c>
      <c r="S65" s="1"/>
    </row>
    <row r="66" spans="1:19" x14ac:dyDescent="0.3">
      <c r="A66" t="s">
        <v>238</v>
      </c>
      <c r="B66" t="s">
        <v>21</v>
      </c>
      <c r="C66" t="s">
        <v>22</v>
      </c>
      <c r="D66" t="s">
        <v>239</v>
      </c>
      <c r="E66" t="s">
        <v>240</v>
      </c>
      <c r="F66" t="s">
        <v>92</v>
      </c>
      <c r="G66" t="s">
        <v>241</v>
      </c>
      <c r="H66">
        <v>60</v>
      </c>
      <c r="I66">
        <v>0</v>
      </c>
      <c r="J66">
        <v>0</v>
      </c>
      <c r="K66">
        <v>0</v>
      </c>
      <c r="L66">
        <v>0</v>
      </c>
      <c r="O66">
        <v>7</v>
      </c>
      <c r="R66">
        <v>11</v>
      </c>
      <c r="S66" s="1"/>
    </row>
    <row r="67" spans="1:19" x14ac:dyDescent="0.3">
      <c r="A67" t="s">
        <v>238</v>
      </c>
      <c r="B67" t="s">
        <v>21</v>
      </c>
      <c r="C67" t="s">
        <v>22</v>
      </c>
      <c r="D67" t="s">
        <v>239</v>
      </c>
      <c r="E67" t="s">
        <v>240</v>
      </c>
      <c r="F67" t="s">
        <v>92</v>
      </c>
      <c r="G67" t="s">
        <v>242</v>
      </c>
      <c r="H67">
        <v>85</v>
      </c>
      <c r="I67">
        <v>0</v>
      </c>
      <c r="J67">
        <v>0</v>
      </c>
      <c r="K67">
        <v>0</v>
      </c>
      <c r="L67">
        <v>0</v>
      </c>
      <c r="O67">
        <v>32</v>
      </c>
      <c r="R67">
        <v>24</v>
      </c>
      <c r="S67" s="1"/>
    </row>
    <row r="68" spans="1:19" x14ac:dyDescent="0.3">
      <c r="A68" t="s">
        <v>248</v>
      </c>
      <c r="B68" t="s">
        <v>21</v>
      </c>
      <c r="C68" t="s">
        <v>22</v>
      </c>
      <c r="D68" t="s">
        <v>249</v>
      </c>
      <c r="E68" t="s">
        <v>250</v>
      </c>
      <c r="F68" t="s">
        <v>251</v>
      </c>
      <c r="G68" t="s">
        <v>253</v>
      </c>
      <c r="H68">
        <v>45</v>
      </c>
      <c r="I68">
        <v>16</v>
      </c>
      <c r="J68">
        <v>8</v>
      </c>
      <c r="K68">
        <v>10</v>
      </c>
      <c r="L68">
        <v>2</v>
      </c>
      <c r="N68" s="3">
        <v>9</v>
      </c>
      <c r="O68">
        <v>19</v>
      </c>
      <c r="R68">
        <v>7</v>
      </c>
      <c r="S68" s="1"/>
    </row>
    <row r="69" spans="1:19" x14ac:dyDescent="0.3">
      <c r="A69" t="s">
        <v>255</v>
      </c>
      <c r="B69" t="s">
        <v>21</v>
      </c>
      <c r="C69" t="s">
        <v>22</v>
      </c>
      <c r="D69" t="s">
        <v>256</v>
      </c>
      <c r="E69" t="s">
        <v>257</v>
      </c>
      <c r="F69" t="s">
        <v>92</v>
      </c>
      <c r="G69" t="s">
        <v>258</v>
      </c>
      <c r="H69">
        <v>50</v>
      </c>
      <c r="I69">
        <v>25</v>
      </c>
      <c r="J69">
        <v>10</v>
      </c>
      <c r="K69">
        <v>0</v>
      </c>
      <c r="L69">
        <v>2</v>
      </c>
      <c r="O69">
        <v>6</v>
      </c>
      <c r="R69">
        <v>13</v>
      </c>
      <c r="S69" s="1"/>
    </row>
    <row r="70" spans="1:19" x14ac:dyDescent="0.3">
      <c r="A70" s="2" t="s">
        <v>259</v>
      </c>
      <c r="B70" t="s">
        <v>21</v>
      </c>
      <c r="C70" t="s">
        <v>22</v>
      </c>
      <c r="D70" t="s">
        <v>260</v>
      </c>
      <c r="E70" t="s">
        <v>261</v>
      </c>
      <c r="F70" t="s">
        <v>211</v>
      </c>
      <c r="G70" t="s">
        <v>262</v>
      </c>
      <c r="H70">
        <v>55</v>
      </c>
      <c r="I70">
        <v>10</v>
      </c>
      <c r="J70">
        <v>4</v>
      </c>
      <c r="K70">
        <v>0</v>
      </c>
      <c r="L70">
        <v>0</v>
      </c>
      <c r="O70">
        <v>24</v>
      </c>
      <c r="R70">
        <v>12</v>
      </c>
      <c r="S70" s="1"/>
    </row>
    <row r="71" spans="1:19" x14ac:dyDescent="0.3">
      <c r="A71" t="s">
        <v>312</v>
      </c>
      <c r="B71" t="s">
        <v>21</v>
      </c>
      <c r="C71" t="s">
        <v>22</v>
      </c>
      <c r="D71" t="s">
        <v>313</v>
      </c>
      <c r="E71" t="s">
        <v>314</v>
      </c>
      <c r="F71" t="s">
        <v>315</v>
      </c>
      <c r="G71" t="s">
        <v>316</v>
      </c>
      <c r="H71">
        <v>30</v>
      </c>
      <c r="I71">
        <v>10</v>
      </c>
      <c r="J71">
        <v>4</v>
      </c>
      <c r="K71">
        <v>6</v>
      </c>
      <c r="L71">
        <v>1</v>
      </c>
      <c r="O71" s="1">
        <v>4.5</v>
      </c>
      <c r="P71" s="1"/>
      <c r="Q71" s="1"/>
      <c r="R71" s="1">
        <v>13.75</v>
      </c>
      <c r="S71" s="1"/>
    </row>
    <row r="72" spans="1:19" x14ac:dyDescent="0.3">
      <c r="A72" t="s">
        <v>317</v>
      </c>
      <c r="B72" t="s">
        <v>21</v>
      </c>
      <c r="C72" t="s">
        <v>22</v>
      </c>
      <c r="D72" t="s">
        <v>318</v>
      </c>
      <c r="E72" t="s">
        <v>319</v>
      </c>
      <c r="F72" t="s">
        <v>320</v>
      </c>
      <c r="G72" t="s">
        <v>321</v>
      </c>
      <c r="H72">
        <v>28</v>
      </c>
      <c r="I72">
        <v>28</v>
      </c>
      <c r="J72">
        <v>10</v>
      </c>
      <c r="K72">
        <v>4</v>
      </c>
      <c r="L72">
        <v>3</v>
      </c>
      <c r="O72">
        <v>17</v>
      </c>
      <c r="R72">
        <v>9</v>
      </c>
      <c r="S72" s="1"/>
    </row>
    <row r="73" spans="1:19" x14ac:dyDescent="0.3">
      <c r="A73" t="s">
        <v>317</v>
      </c>
      <c r="B73" t="s">
        <v>21</v>
      </c>
      <c r="C73" t="s">
        <v>22</v>
      </c>
      <c r="D73" t="s">
        <v>318</v>
      </c>
      <c r="E73" t="s">
        <v>319</v>
      </c>
      <c r="F73" t="s">
        <v>320</v>
      </c>
      <c r="G73" t="s">
        <v>242</v>
      </c>
      <c r="H73">
        <v>40</v>
      </c>
      <c r="I73">
        <v>17</v>
      </c>
      <c r="J73">
        <v>3</v>
      </c>
      <c r="K73">
        <v>0</v>
      </c>
      <c r="L73">
        <v>0</v>
      </c>
      <c r="O73">
        <v>33</v>
      </c>
      <c r="R73">
        <v>25</v>
      </c>
      <c r="S73" s="1"/>
    </row>
    <row r="74" spans="1:19" x14ac:dyDescent="0.3">
      <c r="A74" s="7" t="s">
        <v>322</v>
      </c>
      <c r="B74" t="s">
        <v>21</v>
      </c>
      <c r="D74" s="10" t="s">
        <v>323</v>
      </c>
      <c r="E74" s="10" t="s">
        <v>324</v>
      </c>
      <c r="F74" t="s">
        <v>32</v>
      </c>
      <c r="G74" t="s">
        <v>518</v>
      </c>
      <c r="H74">
        <v>12</v>
      </c>
      <c r="I74">
        <v>4</v>
      </c>
      <c r="J74">
        <v>2</v>
      </c>
      <c r="K74">
        <v>0</v>
      </c>
      <c r="L74">
        <v>0</v>
      </c>
      <c r="O74">
        <v>18</v>
      </c>
      <c r="P74">
        <v>10</v>
      </c>
      <c r="Q74">
        <v>17.5</v>
      </c>
      <c r="R74">
        <v>10.5</v>
      </c>
    </row>
    <row r="75" spans="1:19" x14ac:dyDescent="0.3">
      <c r="A75" s="7" t="s">
        <v>322</v>
      </c>
      <c r="B75" t="s">
        <v>21</v>
      </c>
      <c r="D75" s="10" t="s">
        <v>323</v>
      </c>
      <c r="E75" s="10" t="s">
        <v>324</v>
      </c>
      <c r="F75" t="s">
        <v>32</v>
      </c>
      <c r="G75" t="s">
        <v>86</v>
      </c>
      <c r="H75">
        <v>31</v>
      </c>
      <c r="I75">
        <v>14</v>
      </c>
      <c r="J75">
        <v>2</v>
      </c>
      <c r="K75">
        <v>0</v>
      </c>
      <c r="L75">
        <v>0</v>
      </c>
      <c r="O75">
        <v>23</v>
      </c>
      <c r="P75">
        <v>16</v>
      </c>
      <c r="Q75">
        <v>22.5</v>
      </c>
      <c r="R75">
        <v>17.5</v>
      </c>
    </row>
    <row r="76" spans="1:19" x14ac:dyDescent="0.3">
      <c r="A76" s="7" t="s">
        <v>349</v>
      </c>
      <c r="B76" t="s">
        <v>21</v>
      </c>
      <c r="C76" t="s">
        <v>29</v>
      </c>
      <c r="D76" t="s">
        <v>350</v>
      </c>
      <c r="E76" t="s">
        <v>351</v>
      </c>
      <c r="F76" t="s">
        <v>92</v>
      </c>
      <c r="G76" t="s">
        <v>352</v>
      </c>
      <c r="H76">
        <v>50</v>
      </c>
      <c r="I76">
        <v>10</v>
      </c>
      <c r="J76">
        <v>4</v>
      </c>
      <c r="K76">
        <v>0</v>
      </c>
      <c r="L76">
        <v>0</v>
      </c>
      <c r="O76">
        <v>13</v>
      </c>
      <c r="R76">
        <v>8</v>
      </c>
      <c r="S76" s="1"/>
    </row>
    <row r="77" spans="1:19" x14ac:dyDescent="0.3">
      <c r="A77" s="7" t="s">
        <v>349</v>
      </c>
      <c r="B77" t="s">
        <v>21</v>
      </c>
      <c r="C77" t="s">
        <v>29</v>
      </c>
      <c r="D77" t="s">
        <v>350</v>
      </c>
      <c r="E77" t="s">
        <v>351</v>
      </c>
      <c r="F77" t="s">
        <v>92</v>
      </c>
      <c r="G77" t="s">
        <v>254</v>
      </c>
      <c r="H77">
        <v>30</v>
      </c>
      <c r="I77">
        <v>6</v>
      </c>
      <c r="J77">
        <v>0</v>
      </c>
      <c r="K77">
        <v>0</v>
      </c>
      <c r="L77">
        <v>0</v>
      </c>
      <c r="O77">
        <v>19</v>
      </c>
      <c r="R77">
        <v>14</v>
      </c>
      <c r="S77" s="1"/>
    </row>
    <row r="78" spans="1:19" x14ac:dyDescent="0.3">
      <c r="A78" s="7" t="s">
        <v>349</v>
      </c>
      <c r="B78" t="s">
        <v>21</v>
      </c>
      <c r="C78" t="s">
        <v>29</v>
      </c>
      <c r="D78" t="s">
        <v>350</v>
      </c>
      <c r="E78" t="s">
        <v>351</v>
      </c>
      <c r="F78" t="s">
        <v>92</v>
      </c>
      <c r="G78" t="s">
        <v>353</v>
      </c>
      <c r="H78">
        <v>30</v>
      </c>
      <c r="I78">
        <v>8</v>
      </c>
      <c r="J78">
        <v>3</v>
      </c>
      <c r="K78">
        <v>0</v>
      </c>
      <c r="L78">
        <v>0</v>
      </c>
      <c r="O78">
        <v>21</v>
      </c>
      <c r="R78">
        <v>16</v>
      </c>
      <c r="S78" s="1"/>
    </row>
    <row r="79" spans="1:19" x14ac:dyDescent="0.3">
      <c r="A79" s="7" t="s">
        <v>349</v>
      </c>
      <c r="B79" t="s">
        <v>21</v>
      </c>
      <c r="C79" t="s">
        <v>29</v>
      </c>
      <c r="D79" t="s">
        <v>350</v>
      </c>
      <c r="E79" t="s">
        <v>351</v>
      </c>
      <c r="F79" t="s">
        <v>92</v>
      </c>
      <c r="G79" t="s">
        <v>354</v>
      </c>
      <c r="H79">
        <v>32</v>
      </c>
      <c r="I79">
        <v>7</v>
      </c>
      <c r="J79">
        <v>3</v>
      </c>
      <c r="K79">
        <v>0</v>
      </c>
      <c r="L79">
        <v>0</v>
      </c>
      <c r="O79">
        <v>29</v>
      </c>
      <c r="R79">
        <v>20</v>
      </c>
      <c r="S79" s="1"/>
    </row>
    <row r="80" spans="1:19" x14ac:dyDescent="0.3">
      <c r="A80" s="7" t="s">
        <v>349</v>
      </c>
      <c r="B80" t="s">
        <v>21</v>
      </c>
      <c r="C80" t="s">
        <v>29</v>
      </c>
      <c r="D80" t="s">
        <v>350</v>
      </c>
      <c r="E80" t="s">
        <v>351</v>
      </c>
      <c r="F80" t="s">
        <v>92</v>
      </c>
      <c r="G80" t="s">
        <v>86</v>
      </c>
      <c r="H80">
        <v>26</v>
      </c>
      <c r="I80">
        <v>10</v>
      </c>
      <c r="J80">
        <v>2</v>
      </c>
      <c r="K80">
        <v>0</v>
      </c>
      <c r="L80">
        <v>0</v>
      </c>
      <c r="O80">
        <v>33</v>
      </c>
      <c r="R80">
        <v>24</v>
      </c>
      <c r="S80" s="1"/>
    </row>
    <row r="81" spans="1:19" x14ac:dyDescent="0.3">
      <c r="A81" s="6" t="s">
        <v>359</v>
      </c>
      <c r="B81" t="s">
        <v>21</v>
      </c>
      <c r="C81" t="s">
        <v>22</v>
      </c>
      <c r="D81" t="s">
        <v>360</v>
      </c>
      <c r="E81" t="s">
        <v>361</v>
      </c>
      <c r="F81" t="s">
        <v>142</v>
      </c>
      <c r="G81" t="s">
        <v>362</v>
      </c>
      <c r="H81">
        <v>22</v>
      </c>
      <c r="I81">
        <v>7</v>
      </c>
      <c r="J81">
        <v>3</v>
      </c>
      <c r="K81">
        <v>5</v>
      </c>
      <c r="L81">
        <v>0</v>
      </c>
      <c r="O81">
        <v>6.5</v>
      </c>
      <c r="P81">
        <v>6</v>
      </c>
      <c r="Q81">
        <v>3</v>
      </c>
      <c r="R81">
        <v>4</v>
      </c>
      <c r="S81" s="1"/>
    </row>
    <row r="82" spans="1:19" x14ac:dyDescent="0.3">
      <c r="A82" t="s">
        <v>371</v>
      </c>
      <c r="B82" t="s">
        <v>21</v>
      </c>
      <c r="C82" t="s">
        <v>22</v>
      </c>
      <c r="D82" t="s">
        <v>372</v>
      </c>
      <c r="E82" t="s">
        <v>373</v>
      </c>
      <c r="F82" t="s">
        <v>374</v>
      </c>
      <c r="G82" t="s">
        <v>192</v>
      </c>
      <c r="H82">
        <v>25</v>
      </c>
      <c r="I82">
        <v>8</v>
      </c>
      <c r="J82">
        <v>4</v>
      </c>
      <c r="K82">
        <v>0</v>
      </c>
      <c r="L82">
        <v>0</v>
      </c>
      <c r="N82" s="3">
        <v>7</v>
      </c>
      <c r="O82">
        <v>14</v>
      </c>
      <c r="R82">
        <v>8</v>
      </c>
      <c r="S82" s="1"/>
    </row>
    <row r="83" spans="1:19" x14ac:dyDescent="0.3">
      <c r="A83" t="s">
        <v>375</v>
      </c>
      <c r="B83" t="s">
        <v>21</v>
      </c>
      <c r="C83" t="s">
        <v>22</v>
      </c>
      <c r="D83" t="s">
        <v>376</v>
      </c>
      <c r="E83" t="s">
        <v>377</v>
      </c>
      <c r="F83" t="s">
        <v>137</v>
      </c>
      <c r="G83" t="s">
        <v>378</v>
      </c>
      <c r="H83">
        <v>120</v>
      </c>
      <c r="I83">
        <v>38</v>
      </c>
      <c r="J83">
        <v>16</v>
      </c>
      <c r="K83">
        <v>0</v>
      </c>
      <c r="L83">
        <v>4</v>
      </c>
      <c r="O83">
        <v>15</v>
      </c>
      <c r="R83">
        <v>10</v>
      </c>
      <c r="S83" s="1"/>
    </row>
    <row r="84" spans="1:19" x14ac:dyDescent="0.3">
      <c r="A84" t="s">
        <v>375</v>
      </c>
      <c r="B84" t="s">
        <v>21</v>
      </c>
      <c r="C84" t="s">
        <v>22</v>
      </c>
      <c r="D84" t="s">
        <v>376</v>
      </c>
      <c r="E84" t="s">
        <v>377</v>
      </c>
      <c r="F84" t="s">
        <v>137</v>
      </c>
      <c r="G84" t="s">
        <v>379</v>
      </c>
      <c r="H84">
        <v>8</v>
      </c>
      <c r="I84">
        <v>2</v>
      </c>
      <c r="J84">
        <v>2</v>
      </c>
      <c r="K84">
        <v>2</v>
      </c>
      <c r="L84">
        <v>2</v>
      </c>
      <c r="O84">
        <v>19</v>
      </c>
      <c r="R84">
        <v>20</v>
      </c>
      <c r="S84" s="1"/>
    </row>
    <row r="85" spans="1:19" x14ac:dyDescent="0.3">
      <c r="A85" s="2" t="s">
        <v>375</v>
      </c>
      <c r="B85" t="s">
        <v>21</v>
      </c>
      <c r="C85" t="s">
        <v>22</v>
      </c>
      <c r="D85" t="s">
        <v>376</v>
      </c>
      <c r="E85" t="s">
        <v>377</v>
      </c>
      <c r="F85" t="s">
        <v>137</v>
      </c>
      <c r="G85" t="s">
        <v>380</v>
      </c>
      <c r="H85">
        <v>8</v>
      </c>
      <c r="I85">
        <v>3</v>
      </c>
      <c r="J85">
        <v>1</v>
      </c>
      <c r="K85">
        <v>2</v>
      </c>
      <c r="L85">
        <v>0</v>
      </c>
      <c r="O85">
        <v>23</v>
      </c>
      <c r="R85">
        <v>13</v>
      </c>
      <c r="S85" s="1"/>
    </row>
    <row r="86" spans="1:19" x14ac:dyDescent="0.3">
      <c r="A86" s="39" t="s">
        <v>381</v>
      </c>
      <c r="B86" t="s">
        <v>21</v>
      </c>
      <c r="C86" t="s">
        <v>22</v>
      </c>
      <c r="D86" t="s">
        <v>382</v>
      </c>
      <c r="E86" t="s">
        <v>383</v>
      </c>
      <c r="F86" t="s">
        <v>142</v>
      </c>
      <c r="G86" t="s">
        <v>225</v>
      </c>
      <c r="H86">
        <v>33</v>
      </c>
      <c r="I86">
        <v>10</v>
      </c>
      <c r="J86">
        <v>5</v>
      </c>
      <c r="K86">
        <v>3</v>
      </c>
      <c r="L86">
        <v>1</v>
      </c>
      <c r="N86" s="3">
        <v>10</v>
      </c>
      <c r="O86">
        <v>20</v>
      </c>
      <c r="R86">
        <v>9</v>
      </c>
      <c r="S86" s="1"/>
    </row>
    <row r="87" spans="1:19" x14ac:dyDescent="0.3">
      <c r="A87" s="6" t="s">
        <v>388</v>
      </c>
      <c r="B87" t="s">
        <v>21</v>
      </c>
      <c r="C87" t="s">
        <v>29</v>
      </c>
      <c r="D87" t="s">
        <v>389</v>
      </c>
      <c r="E87" t="s">
        <v>390</v>
      </c>
      <c r="F87" t="s">
        <v>266</v>
      </c>
      <c r="G87" t="s">
        <v>73</v>
      </c>
      <c r="H87">
        <v>80</v>
      </c>
      <c r="I87">
        <v>30</v>
      </c>
      <c r="J87">
        <v>10</v>
      </c>
      <c r="K87">
        <v>0</v>
      </c>
      <c r="L87">
        <v>6</v>
      </c>
      <c r="O87">
        <v>9</v>
      </c>
      <c r="R87">
        <v>3</v>
      </c>
      <c r="S87" s="1"/>
    </row>
    <row r="88" spans="1:19" x14ac:dyDescent="0.3">
      <c r="A88" s="13" t="s">
        <v>388</v>
      </c>
      <c r="B88" t="s">
        <v>21</v>
      </c>
      <c r="C88" t="s">
        <v>29</v>
      </c>
      <c r="D88" t="s">
        <v>389</v>
      </c>
      <c r="E88" t="s">
        <v>390</v>
      </c>
      <c r="F88" t="s">
        <v>266</v>
      </c>
      <c r="G88" t="s">
        <v>391</v>
      </c>
      <c r="H88">
        <v>200</v>
      </c>
      <c r="I88">
        <v>73</v>
      </c>
      <c r="J88">
        <v>28</v>
      </c>
      <c r="K88">
        <v>0</v>
      </c>
      <c r="L88">
        <v>10</v>
      </c>
      <c r="O88">
        <v>9</v>
      </c>
      <c r="R88">
        <v>3</v>
      </c>
      <c r="S88" s="1"/>
    </row>
    <row r="89" spans="1:19" x14ac:dyDescent="0.3">
      <c r="A89" t="s">
        <v>401</v>
      </c>
      <c r="B89" t="s">
        <v>21</v>
      </c>
      <c r="C89" t="s">
        <v>22</v>
      </c>
      <c r="D89" t="s">
        <v>402</v>
      </c>
      <c r="E89" t="s">
        <v>403</v>
      </c>
      <c r="F89" t="s">
        <v>266</v>
      </c>
      <c r="G89" t="s">
        <v>268</v>
      </c>
      <c r="H89">
        <v>22</v>
      </c>
      <c r="I89">
        <v>8</v>
      </c>
      <c r="J89">
        <v>4</v>
      </c>
      <c r="K89">
        <v>5</v>
      </c>
      <c r="L89">
        <v>0</v>
      </c>
      <c r="O89">
        <v>10</v>
      </c>
      <c r="R89">
        <v>4</v>
      </c>
      <c r="S89" s="1"/>
    </row>
    <row r="90" spans="1:19" x14ac:dyDescent="0.3">
      <c r="A90" t="s">
        <v>405</v>
      </c>
      <c r="B90" t="s">
        <v>21</v>
      </c>
      <c r="D90" t="s">
        <v>406</v>
      </c>
      <c r="E90" t="s">
        <v>407</v>
      </c>
      <c r="F90" t="s">
        <v>408</v>
      </c>
      <c r="G90" t="s">
        <v>409</v>
      </c>
      <c r="H90">
        <v>30</v>
      </c>
      <c r="I90">
        <v>10</v>
      </c>
      <c r="J90">
        <v>5</v>
      </c>
      <c r="K90">
        <v>0</v>
      </c>
      <c r="L90">
        <v>0</v>
      </c>
      <c r="O90">
        <v>10</v>
      </c>
      <c r="R90">
        <v>0</v>
      </c>
      <c r="S90" s="1"/>
    </row>
    <row r="91" spans="1:19" x14ac:dyDescent="0.3">
      <c r="A91" t="s">
        <v>405</v>
      </c>
      <c r="B91" t="s">
        <v>21</v>
      </c>
      <c r="D91" t="s">
        <v>406</v>
      </c>
      <c r="E91" t="s">
        <v>407</v>
      </c>
      <c r="F91" t="s">
        <v>408</v>
      </c>
      <c r="G91" t="s">
        <v>410</v>
      </c>
      <c r="H91">
        <v>40</v>
      </c>
      <c r="I91">
        <v>10</v>
      </c>
      <c r="J91">
        <v>10</v>
      </c>
      <c r="K91">
        <v>0</v>
      </c>
      <c r="L91">
        <v>0</v>
      </c>
      <c r="O91">
        <v>13</v>
      </c>
      <c r="R91">
        <v>12</v>
      </c>
      <c r="S91" s="1"/>
    </row>
    <row r="92" spans="1:19" x14ac:dyDescent="0.3">
      <c r="A92" t="s">
        <v>405</v>
      </c>
      <c r="B92" t="s">
        <v>21</v>
      </c>
      <c r="D92" t="s">
        <v>406</v>
      </c>
      <c r="E92" t="s">
        <v>407</v>
      </c>
      <c r="F92" t="s">
        <v>408</v>
      </c>
      <c r="G92" t="s">
        <v>192</v>
      </c>
      <c r="H92">
        <v>200</v>
      </c>
      <c r="I92">
        <v>70</v>
      </c>
      <c r="J92">
        <v>30</v>
      </c>
      <c r="K92">
        <v>0</v>
      </c>
      <c r="L92">
        <v>0</v>
      </c>
      <c r="O92">
        <v>14</v>
      </c>
      <c r="R92">
        <v>8</v>
      </c>
      <c r="S92" s="1"/>
    </row>
    <row r="93" spans="1:19" x14ac:dyDescent="0.3">
      <c r="A93" t="s">
        <v>405</v>
      </c>
      <c r="B93" t="s">
        <v>21</v>
      </c>
      <c r="D93" t="s">
        <v>406</v>
      </c>
      <c r="E93" t="s">
        <v>407</v>
      </c>
      <c r="F93" t="s">
        <v>408</v>
      </c>
      <c r="G93" t="s">
        <v>411</v>
      </c>
      <c r="H93">
        <v>100</v>
      </c>
      <c r="I93">
        <v>30</v>
      </c>
      <c r="J93">
        <v>20</v>
      </c>
      <c r="K93">
        <v>0</v>
      </c>
      <c r="L93">
        <v>0</v>
      </c>
      <c r="O93">
        <v>14</v>
      </c>
      <c r="R93">
        <v>10</v>
      </c>
      <c r="S93" s="1"/>
    </row>
    <row r="94" spans="1:19" x14ac:dyDescent="0.3">
      <c r="A94" t="s">
        <v>405</v>
      </c>
      <c r="B94" t="s">
        <v>21</v>
      </c>
      <c r="D94" t="s">
        <v>406</v>
      </c>
      <c r="E94" t="s">
        <v>407</v>
      </c>
      <c r="F94" t="s">
        <v>408</v>
      </c>
      <c r="G94" t="s">
        <v>321</v>
      </c>
      <c r="H94">
        <v>40</v>
      </c>
      <c r="I94">
        <v>20</v>
      </c>
      <c r="J94">
        <v>20</v>
      </c>
      <c r="K94">
        <v>0</v>
      </c>
      <c r="L94">
        <v>0</v>
      </c>
      <c r="O94">
        <v>16</v>
      </c>
      <c r="R94">
        <v>8</v>
      </c>
      <c r="S94" s="1"/>
    </row>
    <row r="95" spans="1:19" x14ac:dyDescent="0.3">
      <c r="A95" t="s">
        <v>405</v>
      </c>
      <c r="B95" t="s">
        <v>21</v>
      </c>
      <c r="D95" t="s">
        <v>406</v>
      </c>
      <c r="E95" t="s">
        <v>407</v>
      </c>
      <c r="F95" t="s">
        <v>408</v>
      </c>
      <c r="G95" t="s">
        <v>412</v>
      </c>
      <c r="H95">
        <v>20</v>
      </c>
      <c r="I95">
        <v>8</v>
      </c>
      <c r="J95">
        <v>2</v>
      </c>
      <c r="K95">
        <v>0</v>
      </c>
      <c r="L95">
        <v>0</v>
      </c>
      <c r="O95">
        <v>17</v>
      </c>
      <c r="R95">
        <v>16</v>
      </c>
      <c r="S95" s="1"/>
    </row>
    <row r="96" spans="1:19" x14ac:dyDescent="0.3">
      <c r="A96" t="s">
        <v>417</v>
      </c>
      <c r="B96" t="s">
        <v>21</v>
      </c>
      <c r="C96" t="s">
        <v>22</v>
      </c>
      <c r="D96" t="s">
        <v>418</v>
      </c>
      <c r="E96" t="s">
        <v>419</v>
      </c>
      <c r="F96" t="s">
        <v>25</v>
      </c>
      <c r="G96" t="s">
        <v>420</v>
      </c>
      <c r="H96">
        <v>46</v>
      </c>
      <c r="I96">
        <v>14</v>
      </c>
      <c r="J96">
        <v>7</v>
      </c>
      <c r="K96">
        <v>10</v>
      </c>
      <c r="L96">
        <v>0</v>
      </c>
      <c r="O96">
        <v>20</v>
      </c>
      <c r="R96">
        <v>14</v>
      </c>
      <c r="S96" s="1"/>
    </row>
    <row r="97" spans="1:19" x14ac:dyDescent="0.3">
      <c r="A97" s="6" t="s">
        <v>429</v>
      </c>
      <c r="B97" t="s">
        <v>21</v>
      </c>
      <c r="D97" s="10"/>
      <c r="F97" t="s">
        <v>25</v>
      </c>
      <c r="G97" t="s">
        <v>430</v>
      </c>
      <c r="H97">
        <v>35</v>
      </c>
      <c r="I97">
        <v>12</v>
      </c>
      <c r="J97">
        <v>3</v>
      </c>
      <c r="K97">
        <v>5</v>
      </c>
      <c r="L97">
        <v>3</v>
      </c>
      <c r="N97" s="3">
        <v>10</v>
      </c>
    </row>
    <row r="98" spans="1:19" x14ac:dyDescent="0.3">
      <c r="A98" s="7" t="s">
        <v>439</v>
      </c>
      <c r="B98" t="s">
        <v>21</v>
      </c>
      <c r="D98" s="18" t="s">
        <v>440</v>
      </c>
      <c r="E98" s="10" t="s">
        <v>441</v>
      </c>
      <c r="F98" t="s">
        <v>279</v>
      </c>
      <c r="G98" t="s">
        <v>442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9" x14ac:dyDescent="0.3">
      <c r="A99" s="6" t="s">
        <v>454</v>
      </c>
      <c r="B99" t="s">
        <v>21</v>
      </c>
      <c r="C99" t="s">
        <v>22</v>
      </c>
      <c r="D99" t="s">
        <v>455</v>
      </c>
      <c r="E99" t="s">
        <v>456</v>
      </c>
      <c r="F99" t="s">
        <v>142</v>
      </c>
      <c r="G99" t="s">
        <v>268</v>
      </c>
      <c r="H99">
        <v>40</v>
      </c>
      <c r="I99">
        <v>14</v>
      </c>
      <c r="J99">
        <v>4</v>
      </c>
      <c r="K99">
        <v>0</v>
      </c>
      <c r="L99">
        <v>2</v>
      </c>
      <c r="N99" s="3">
        <v>9</v>
      </c>
      <c r="O99">
        <v>33</v>
      </c>
      <c r="R99">
        <v>25</v>
      </c>
      <c r="S99" s="1"/>
    </row>
    <row r="100" spans="1:19" x14ac:dyDescent="0.3">
      <c r="A100" s="2" t="s">
        <v>457</v>
      </c>
      <c r="B100" t="s">
        <v>21</v>
      </c>
      <c r="C100" t="s">
        <v>22</v>
      </c>
      <c r="D100" t="s">
        <v>458</v>
      </c>
      <c r="E100" t="s">
        <v>459</v>
      </c>
      <c r="F100" t="s">
        <v>25</v>
      </c>
      <c r="G100" t="s">
        <v>460</v>
      </c>
      <c r="H100">
        <v>15</v>
      </c>
      <c r="I100">
        <v>0</v>
      </c>
      <c r="J100">
        <v>0</v>
      </c>
      <c r="K100">
        <v>0</v>
      </c>
      <c r="L100">
        <v>0</v>
      </c>
      <c r="O100" s="1">
        <v>17.75</v>
      </c>
      <c r="P100" s="1"/>
      <c r="Q100" s="1"/>
      <c r="R100" s="1">
        <v>10.25</v>
      </c>
      <c r="S100" s="1"/>
    </row>
    <row r="101" spans="1:19" x14ac:dyDescent="0.3">
      <c r="A101" t="s">
        <v>457</v>
      </c>
      <c r="B101" t="s">
        <v>21</v>
      </c>
      <c r="C101" t="s">
        <v>22</v>
      </c>
      <c r="D101" t="s">
        <v>458</v>
      </c>
      <c r="E101" t="s">
        <v>459</v>
      </c>
      <c r="F101" t="s">
        <v>25</v>
      </c>
      <c r="G101" t="s">
        <v>461</v>
      </c>
      <c r="H101">
        <v>48</v>
      </c>
      <c r="I101">
        <v>0</v>
      </c>
      <c r="J101">
        <v>0</v>
      </c>
      <c r="K101">
        <v>0</v>
      </c>
      <c r="L101">
        <v>0</v>
      </c>
      <c r="O101" s="1">
        <v>19.75</v>
      </c>
      <c r="P101" s="1"/>
      <c r="Q101" s="1"/>
      <c r="R101" s="1">
        <v>15.75</v>
      </c>
      <c r="S101" s="1"/>
    </row>
    <row r="102" spans="1:19" x14ac:dyDescent="0.3">
      <c r="A102" t="s">
        <v>457</v>
      </c>
      <c r="B102" t="s">
        <v>21</v>
      </c>
      <c r="C102" t="s">
        <v>22</v>
      </c>
      <c r="D102" t="s">
        <v>458</v>
      </c>
      <c r="E102" t="s">
        <v>459</v>
      </c>
      <c r="F102" t="s">
        <v>25</v>
      </c>
      <c r="G102" t="s">
        <v>461</v>
      </c>
      <c r="H102">
        <v>48</v>
      </c>
      <c r="I102">
        <v>0</v>
      </c>
      <c r="J102">
        <v>0</v>
      </c>
      <c r="K102">
        <v>0</v>
      </c>
      <c r="L102">
        <v>0</v>
      </c>
      <c r="O102" s="1">
        <v>19.75</v>
      </c>
      <c r="P102" s="1"/>
      <c r="Q102" s="1"/>
      <c r="R102" s="1">
        <v>15.75</v>
      </c>
      <c r="S102" s="1"/>
    </row>
    <row r="103" spans="1:19" x14ac:dyDescent="0.3">
      <c r="A103" t="s">
        <v>457</v>
      </c>
      <c r="B103" t="s">
        <v>21</v>
      </c>
      <c r="C103" t="s">
        <v>22</v>
      </c>
      <c r="D103" t="s">
        <v>458</v>
      </c>
      <c r="E103" t="s">
        <v>459</v>
      </c>
      <c r="F103" t="s">
        <v>25</v>
      </c>
      <c r="G103" t="s">
        <v>462</v>
      </c>
      <c r="H103">
        <v>42</v>
      </c>
      <c r="I103">
        <v>0</v>
      </c>
      <c r="J103">
        <v>0</v>
      </c>
      <c r="K103">
        <v>0</v>
      </c>
      <c r="L103">
        <v>0</v>
      </c>
      <c r="O103" s="1">
        <v>21.75</v>
      </c>
      <c r="P103" s="1"/>
      <c r="Q103" s="1"/>
      <c r="R103" s="1">
        <v>14.75</v>
      </c>
      <c r="S103" s="1"/>
    </row>
    <row r="104" spans="1:19" x14ac:dyDescent="0.3">
      <c r="A104" s="6" t="s">
        <v>479</v>
      </c>
      <c r="B104" t="s">
        <v>21</v>
      </c>
      <c r="C104" t="s">
        <v>29</v>
      </c>
      <c r="D104" t="s">
        <v>480</v>
      </c>
      <c r="E104" t="s">
        <v>481</v>
      </c>
      <c r="F104" t="s">
        <v>482</v>
      </c>
      <c r="G104" t="s">
        <v>409</v>
      </c>
      <c r="H104">
        <v>44</v>
      </c>
      <c r="I104">
        <v>18</v>
      </c>
      <c r="J104">
        <v>6</v>
      </c>
      <c r="K104">
        <v>0</v>
      </c>
      <c r="L104">
        <v>2</v>
      </c>
      <c r="O104">
        <v>7.5</v>
      </c>
      <c r="P104">
        <v>2.5</v>
      </c>
      <c r="Q104">
        <v>6.5</v>
      </c>
      <c r="R104">
        <v>0</v>
      </c>
      <c r="S104" s="1"/>
    </row>
    <row r="105" spans="1:19" x14ac:dyDescent="0.3">
      <c r="A105" t="s">
        <v>479</v>
      </c>
      <c r="B105" t="s">
        <v>21</v>
      </c>
      <c r="C105" t="s">
        <v>29</v>
      </c>
      <c r="D105" t="s">
        <v>480</v>
      </c>
      <c r="E105" t="s">
        <v>481</v>
      </c>
      <c r="F105" t="s">
        <v>482</v>
      </c>
      <c r="G105" t="s">
        <v>353</v>
      </c>
      <c r="H105">
        <v>30</v>
      </c>
      <c r="I105">
        <v>10</v>
      </c>
      <c r="J105">
        <v>4</v>
      </c>
      <c r="K105">
        <v>0</v>
      </c>
      <c r="L105">
        <v>1</v>
      </c>
      <c r="O105">
        <v>17.5</v>
      </c>
      <c r="P105">
        <v>11</v>
      </c>
      <c r="Q105">
        <v>16.5</v>
      </c>
      <c r="R105">
        <v>11.5</v>
      </c>
      <c r="S105" s="1"/>
    </row>
    <row r="106" spans="1:19" x14ac:dyDescent="0.3">
      <c r="A106" t="s">
        <v>479</v>
      </c>
      <c r="B106" t="s">
        <v>21</v>
      </c>
      <c r="C106" t="s">
        <v>29</v>
      </c>
      <c r="D106" t="s">
        <v>480</v>
      </c>
      <c r="E106" t="s">
        <v>481</v>
      </c>
      <c r="F106" t="s">
        <v>482</v>
      </c>
      <c r="G106" t="s">
        <v>483</v>
      </c>
      <c r="H106">
        <v>26</v>
      </c>
      <c r="I106">
        <v>10</v>
      </c>
      <c r="J106">
        <v>2</v>
      </c>
      <c r="K106">
        <v>0</v>
      </c>
      <c r="L106">
        <v>1</v>
      </c>
      <c r="O106">
        <v>25.5</v>
      </c>
      <c r="P106">
        <v>17.5</v>
      </c>
      <c r="Q106">
        <v>25.5</v>
      </c>
      <c r="R106">
        <v>20</v>
      </c>
      <c r="S106" s="1"/>
    </row>
    <row r="107" spans="1:19" x14ac:dyDescent="0.3">
      <c r="A107" s="6" t="s">
        <v>497</v>
      </c>
      <c r="B107" t="s">
        <v>21</v>
      </c>
      <c r="C107" t="s">
        <v>29</v>
      </c>
      <c r="D107" t="s">
        <v>498</v>
      </c>
      <c r="E107" t="s">
        <v>221</v>
      </c>
      <c r="F107" t="s">
        <v>142</v>
      </c>
      <c r="G107" t="s">
        <v>499</v>
      </c>
      <c r="H107">
        <v>26</v>
      </c>
      <c r="I107">
        <v>0</v>
      </c>
      <c r="J107">
        <v>0</v>
      </c>
      <c r="K107">
        <v>0</v>
      </c>
      <c r="L107">
        <v>0</v>
      </c>
      <c r="O107">
        <v>6</v>
      </c>
      <c r="R107">
        <v>14</v>
      </c>
      <c r="S107" s="1"/>
    </row>
    <row r="108" spans="1:19" x14ac:dyDescent="0.3">
      <c r="A108" t="s">
        <v>67</v>
      </c>
      <c r="B108" t="s">
        <v>21</v>
      </c>
      <c r="C108" t="s">
        <v>22</v>
      </c>
      <c r="D108" s="18" t="s">
        <v>68</v>
      </c>
      <c r="E108" s="10" t="s">
        <v>69</v>
      </c>
    </row>
    <row r="109" spans="1:19" x14ac:dyDescent="0.3">
      <c r="A109" s="6" t="s">
        <v>263</v>
      </c>
      <c r="B109" t="s">
        <v>21</v>
      </c>
      <c r="C109" t="s">
        <v>22</v>
      </c>
      <c r="D109" s="18" t="s">
        <v>264</v>
      </c>
      <c r="E109" t="s">
        <v>265</v>
      </c>
      <c r="F109" t="s">
        <v>266</v>
      </c>
      <c r="G109" t="s">
        <v>267</v>
      </c>
      <c r="H109">
        <v>20</v>
      </c>
      <c r="I109">
        <v>10</v>
      </c>
      <c r="J109">
        <v>2</v>
      </c>
      <c r="K109">
        <v>0</v>
      </c>
      <c r="L109">
        <v>0</v>
      </c>
      <c r="N109" s="3">
        <v>9</v>
      </c>
    </row>
    <row r="110" spans="1:19" x14ac:dyDescent="0.3">
      <c r="A110" s="6" t="s">
        <v>263</v>
      </c>
      <c r="B110" t="s">
        <v>21</v>
      </c>
      <c r="C110" t="s">
        <v>22</v>
      </c>
      <c r="D110" s="18" t="s">
        <v>264</v>
      </c>
      <c r="E110" t="s">
        <v>265</v>
      </c>
      <c r="F110" t="s">
        <v>266</v>
      </c>
      <c r="G110" t="s">
        <v>268</v>
      </c>
      <c r="H110">
        <v>15</v>
      </c>
      <c r="I110">
        <v>3</v>
      </c>
      <c r="J110">
        <v>3</v>
      </c>
      <c r="K110">
        <v>0</v>
      </c>
      <c r="L110">
        <v>0</v>
      </c>
      <c r="N110" s="3">
        <v>9</v>
      </c>
    </row>
    <row r="111" spans="1:19" x14ac:dyDescent="0.3">
      <c r="A111" s="6" t="s">
        <v>263</v>
      </c>
      <c r="B111" t="s">
        <v>21</v>
      </c>
      <c r="C111" t="s">
        <v>22</v>
      </c>
      <c r="D111" s="18" t="s">
        <v>264</v>
      </c>
      <c r="E111" t="s">
        <v>265</v>
      </c>
      <c r="F111" t="s">
        <v>266</v>
      </c>
      <c r="G111" t="s">
        <v>269</v>
      </c>
      <c r="H111">
        <v>25</v>
      </c>
      <c r="I111">
        <v>10</v>
      </c>
      <c r="J111">
        <v>2</v>
      </c>
      <c r="K111">
        <v>0</v>
      </c>
      <c r="L111">
        <v>0</v>
      </c>
      <c r="N111" s="3">
        <v>9</v>
      </c>
    </row>
    <row r="112" spans="1:19" x14ac:dyDescent="0.3">
      <c r="A112" s="6" t="s">
        <v>263</v>
      </c>
      <c r="B112" t="s">
        <v>21</v>
      </c>
      <c r="C112" t="s">
        <v>22</v>
      </c>
      <c r="D112" s="18" t="s">
        <v>264</v>
      </c>
      <c r="E112" t="s">
        <v>265</v>
      </c>
      <c r="F112" t="s">
        <v>25</v>
      </c>
      <c r="G112" t="s">
        <v>270</v>
      </c>
      <c r="H112">
        <v>25</v>
      </c>
      <c r="I112">
        <v>10</v>
      </c>
      <c r="J112">
        <v>2</v>
      </c>
      <c r="K112">
        <v>0</v>
      </c>
      <c r="L112">
        <v>0</v>
      </c>
      <c r="N112" s="3">
        <v>9</v>
      </c>
    </row>
    <row r="113" spans="1:19" x14ac:dyDescent="0.3">
      <c r="A113" s="6" t="s">
        <v>493</v>
      </c>
      <c r="B113" t="s">
        <v>21</v>
      </c>
      <c r="C113" t="s">
        <v>22</v>
      </c>
      <c r="D113" s="18" t="s">
        <v>494</v>
      </c>
      <c r="E113" s="10" t="s">
        <v>495</v>
      </c>
      <c r="F113" t="s">
        <v>25</v>
      </c>
      <c r="G113" t="s">
        <v>496</v>
      </c>
      <c r="H113">
        <v>25</v>
      </c>
      <c r="I113">
        <v>10</v>
      </c>
      <c r="J113">
        <v>5</v>
      </c>
      <c r="K113">
        <v>0</v>
      </c>
      <c r="L113">
        <v>1</v>
      </c>
    </row>
    <row r="114" spans="1:19" x14ac:dyDescent="0.3">
      <c r="A114" t="s">
        <v>52</v>
      </c>
      <c r="B114" t="s">
        <v>53</v>
      </c>
      <c r="C114" t="s">
        <v>29</v>
      </c>
      <c r="D114" s="10" t="s">
        <v>54</v>
      </c>
      <c r="F114" t="s">
        <v>56</v>
      </c>
      <c r="G114" t="s">
        <v>513</v>
      </c>
      <c r="H114">
        <v>17</v>
      </c>
      <c r="I114">
        <v>0</v>
      </c>
      <c r="J114">
        <v>0</v>
      </c>
      <c r="K114">
        <v>0</v>
      </c>
      <c r="L114">
        <v>0</v>
      </c>
    </row>
    <row r="115" spans="1:19" x14ac:dyDescent="0.3">
      <c r="A115" t="s">
        <v>70</v>
      </c>
      <c r="B115" t="s">
        <v>53</v>
      </c>
      <c r="C115" t="s">
        <v>29</v>
      </c>
      <c r="D115" t="s">
        <v>71</v>
      </c>
      <c r="E115" t="s">
        <v>72</v>
      </c>
      <c r="F115" t="s">
        <v>56</v>
      </c>
      <c r="G115" t="s">
        <v>73</v>
      </c>
      <c r="H115">
        <v>15</v>
      </c>
      <c r="I115">
        <v>0</v>
      </c>
      <c r="J115">
        <v>0</v>
      </c>
      <c r="K115">
        <v>0</v>
      </c>
      <c r="L115">
        <v>0</v>
      </c>
      <c r="O115">
        <v>20</v>
      </c>
      <c r="R115">
        <v>15</v>
      </c>
      <c r="S115" s="1"/>
    </row>
    <row r="116" spans="1:19" x14ac:dyDescent="0.3">
      <c r="A116" t="s">
        <v>99</v>
      </c>
      <c r="B116" t="s">
        <v>53</v>
      </c>
      <c r="C116" t="s">
        <v>22</v>
      </c>
      <c r="D116" t="s">
        <v>100</v>
      </c>
      <c r="E116" t="s">
        <v>101</v>
      </c>
      <c r="F116" t="s">
        <v>56</v>
      </c>
      <c r="G116" t="s">
        <v>102</v>
      </c>
      <c r="H116">
        <v>10</v>
      </c>
      <c r="I116">
        <v>0</v>
      </c>
      <c r="J116">
        <v>0</v>
      </c>
      <c r="K116">
        <v>0</v>
      </c>
      <c r="L116">
        <v>0</v>
      </c>
      <c r="O116">
        <v>6</v>
      </c>
      <c r="R116">
        <v>5</v>
      </c>
      <c r="S116" s="1"/>
    </row>
    <row r="117" spans="1:19" x14ac:dyDescent="0.3">
      <c r="A117" s="6" t="s">
        <v>157</v>
      </c>
      <c r="B117" t="s">
        <v>53</v>
      </c>
      <c r="C117" t="s">
        <v>22</v>
      </c>
      <c r="D117" t="s">
        <v>153</v>
      </c>
      <c r="E117" t="s">
        <v>154</v>
      </c>
      <c r="F117" t="s">
        <v>56</v>
      </c>
      <c r="G117" t="s">
        <v>158</v>
      </c>
      <c r="H117">
        <v>30</v>
      </c>
      <c r="I117">
        <v>0</v>
      </c>
      <c r="J117">
        <v>0</v>
      </c>
      <c r="K117">
        <v>0</v>
      </c>
      <c r="L117">
        <v>0</v>
      </c>
    </row>
    <row r="118" spans="1:19" x14ac:dyDescent="0.3">
      <c r="A118" t="s">
        <v>164</v>
      </c>
      <c r="B118" t="s">
        <v>53</v>
      </c>
      <c r="C118" t="s">
        <v>22</v>
      </c>
      <c r="D118" t="s">
        <v>165</v>
      </c>
      <c r="E118" t="s">
        <v>166</v>
      </c>
      <c r="F118" t="s">
        <v>32</v>
      </c>
      <c r="G118" t="s">
        <v>168</v>
      </c>
      <c r="H118">
        <v>7</v>
      </c>
      <c r="I118">
        <v>0</v>
      </c>
      <c r="J118">
        <v>0</v>
      </c>
      <c r="K118">
        <v>0</v>
      </c>
      <c r="L118">
        <v>0</v>
      </c>
      <c r="O118">
        <v>7.5</v>
      </c>
      <c r="P118">
        <v>5</v>
      </c>
      <c r="Q118">
        <v>9.5</v>
      </c>
      <c r="R118">
        <v>3.5</v>
      </c>
    </row>
    <row r="119" spans="1:19" x14ac:dyDescent="0.3">
      <c r="A119" t="s">
        <v>164</v>
      </c>
      <c r="B119" t="s">
        <v>53</v>
      </c>
      <c r="C119" t="s">
        <v>22</v>
      </c>
      <c r="D119" t="s">
        <v>165</v>
      </c>
      <c r="E119" t="s">
        <v>166</v>
      </c>
      <c r="F119" t="s">
        <v>32</v>
      </c>
      <c r="G119" t="s">
        <v>169</v>
      </c>
      <c r="H119">
        <v>20</v>
      </c>
      <c r="I119">
        <v>0</v>
      </c>
      <c r="J119">
        <v>0</v>
      </c>
      <c r="K119">
        <v>0</v>
      </c>
      <c r="L119">
        <v>0</v>
      </c>
      <c r="O119">
        <v>9.5</v>
      </c>
      <c r="P119">
        <v>3</v>
      </c>
      <c r="Q119">
        <v>9.5</v>
      </c>
      <c r="R119">
        <v>3.5</v>
      </c>
    </row>
    <row r="120" spans="1:19" x14ac:dyDescent="0.3">
      <c r="A120" s="6" t="s">
        <v>164</v>
      </c>
      <c r="B120" t="s">
        <v>53</v>
      </c>
      <c r="C120" t="s">
        <v>22</v>
      </c>
      <c r="D120" t="s">
        <v>165</v>
      </c>
      <c r="E120" t="s">
        <v>166</v>
      </c>
      <c r="F120" t="s">
        <v>32</v>
      </c>
      <c r="G120" t="s">
        <v>167</v>
      </c>
      <c r="H120">
        <v>12</v>
      </c>
      <c r="I120">
        <v>0</v>
      </c>
      <c r="J120">
        <v>0</v>
      </c>
      <c r="K120">
        <v>0</v>
      </c>
      <c r="L120">
        <v>0</v>
      </c>
      <c r="O120">
        <v>10</v>
      </c>
      <c r="P120">
        <v>3.5</v>
      </c>
      <c r="Q120">
        <v>10</v>
      </c>
      <c r="R120">
        <v>4.5</v>
      </c>
    </row>
    <row r="121" spans="1:19" x14ac:dyDescent="0.3">
      <c r="A121" t="s">
        <v>170</v>
      </c>
      <c r="B121" t="s">
        <v>53</v>
      </c>
      <c r="D121" t="s">
        <v>171</v>
      </c>
      <c r="E121" t="s">
        <v>172</v>
      </c>
      <c r="F121" t="s">
        <v>56</v>
      </c>
      <c r="G121" t="s">
        <v>174</v>
      </c>
      <c r="H121">
        <v>10</v>
      </c>
      <c r="I121">
        <v>0</v>
      </c>
      <c r="J121">
        <v>0</v>
      </c>
      <c r="K121">
        <v>0</v>
      </c>
      <c r="L121">
        <v>0</v>
      </c>
      <c r="O121">
        <v>6</v>
      </c>
      <c r="P121">
        <v>8</v>
      </c>
      <c r="Q121">
        <v>1.5</v>
      </c>
      <c r="R121">
        <v>5.5</v>
      </c>
    </row>
    <row r="122" spans="1:19" x14ac:dyDescent="0.3">
      <c r="A122" s="6" t="s">
        <v>170</v>
      </c>
      <c r="B122" t="s">
        <v>53</v>
      </c>
      <c r="D122" t="s">
        <v>171</v>
      </c>
      <c r="E122" t="s">
        <v>172</v>
      </c>
      <c r="F122" t="s">
        <v>56</v>
      </c>
      <c r="G122" t="s">
        <v>173</v>
      </c>
      <c r="H122">
        <v>45</v>
      </c>
      <c r="I122">
        <v>0</v>
      </c>
      <c r="J122">
        <v>0</v>
      </c>
      <c r="K122">
        <v>0</v>
      </c>
      <c r="L122">
        <v>0</v>
      </c>
      <c r="O122">
        <v>6.5</v>
      </c>
      <c r="P122">
        <v>5</v>
      </c>
      <c r="Q122">
        <v>9</v>
      </c>
      <c r="R122">
        <v>3.5</v>
      </c>
    </row>
    <row r="123" spans="1:19" x14ac:dyDescent="0.3">
      <c r="A123" t="s">
        <v>271</v>
      </c>
      <c r="B123" t="s">
        <v>53</v>
      </c>
      <c r="C123" t="s">
        <v>29</v>
      </c>
      <c r="D123" s="18" t="s">
        <v>272</v>
      </c>
      <c r="E123" s="10" t="s">
        <v>273</v>
      </c>
      <c r="F123" t="s">
        <v>56</v>
      </c>
      <c r="G123" t="s">
        <v>274</v>
      </c>
      <c r="H123">
        <v>24</v>
      </c>
      <c r="I123">
        <v>0</v>
      </c>
      <c r="J123">
        <v>0</v>
      </c>
      <c r="K123">
        <v>0</v>
      </c>
      <c r="L123">
        <v>0</v>
      </c>
    </row>
    <row r="124" spans="1:19" x14ac:dyDescent="0.3">
      <c r="A124" s="6" t="s">
        <v>330</v>
      </c>
      <c r="B124" t="s">
        <v>53</v>
      </c>
      <c r="C124" t="s">
        <v>29</v>
      </c>
      <c r="D124" t="s">
        <v>331</v>
      </c>
      <c r="E124" t="s">
        <v>332</v>
      </c>
      <c r="F124" t="s">
        <v>56</v>
      </c>
      <c r="G124" t="s">
        <v>519</v>
      </c>
      <c r="H124">
        <v>15</v>
      </c>
      <c r="I124">
        <v>0</v>
      </c>
      <c r="J124">
        <v>0</v>
      </c>
      <c r="K124">
        <v>0</v>
      </c>
      <c r="L124">
        <v>0</v>
      </c>
      <c r="O124">
        <v>5.5</v>
      </c>
      <c r="P124">
        <v>9</v>
      </c>
      <c r="Q124">
        <v>1</v>
      </c>
      <c r="R124">
        <v>6</v>
      </c>
    </row>
    <row r="125" spans="1:19" x14ac:dyDescent="0.3">
      <c r="A125" s="6" t="s">
        <v>330</v>
      </c>
      <c r="B125" t="s">
        <v>53</v>
      </c>
      <c r="C125" t="s">
        <v>29</v>
      </c>
      <c r="D125" t="s">
        <v>331</v>
      </c>
      <c r="E125" t="s">
        <v>332</v>
      </c>
      <c r="F125" t="s">
        <v>56</v>
      </c>
      <c r="G125" t="s">
        <v>333</v>
      </c>
      <c r="H125">
        <v>15</v>
      </c>
      <c r="I125">
        <v>0</v>
      </c>
      <c r="J125">
        <v>0</v>
      </c>
      <c r="K125">
        <v>0</v>
      </c>
      <c r="L125">
        <v>0</v>
      </c>
      <c r="O125">
        <v>6.5</v>
      </c>
      <c r="P125">
        <v>6.5</v>
      </c>
      <c r="Q125">
        <v>2</v>
      </c>
      <c r="R125">
        <v>4</v>
      </c>
      <c r="S125" s="1"/>
    </row>
    <row r="126" spans="1:19" x14ac:dyDescent="0.3">
      <c r="A126" t="s">
        <v>330</v>
      </c>
      <c r="B126" t="s">
        <v>53</v>
      </c>
      <c r="C126" t="s">
        <v>29</v>
      </c>
      <c r="D126" t="s">
        <v>331</v>
      </c>
      <c r="E126" t="s">
        <v>332</v>
      </c>
      <c r="F126" t="s">
        <v>56</v>
      </c>
      <c r="G126" t="s">
        <v>26</v>
      </c>
      <c r="H126">
        <v>25</v>
      </c>
      <c r="I126">
        <v>0</v>
      </c>
      <c r="J126">
        <v>0</v>
      </c>
      <c r="K126">
        <v>0</v>
      </c>
      <c r="L126">
        <v>0</v>
      </c>
      <c r="O126">
        <v>7.5</v>
      </c>
      <c r="P126">
        <v>2</v>
      </c>
      <c r="Q126">
        <v>9.5</v>
      </c>
      <c r="R126">
        <v>3</v>
      </c>
      <c r="S126" s="1"/>
    </row>
    <row r="127" spans="1:19" x14ac:dyDescent="0.3">
      <c r="A127" s="6" t="s">
        <v>330</v>
      </c>
      <c r="B127" t="s">
        <v>53</v>
      </c>
      <c r="C127" t="s">
        <v>29</v>
      </c>
      <c r="D127" t="s">
        <v>331</v>
      </c>
      <c r="E127" t="s">
        <v>332</v>
      </c>
      <c r="F127" t="s">
        <v>56</v>
      </c>
      <c r="G127" t="s">
        <v>268</v>
      </c>
      <c r="H127">
        <v>25</v>
      </c>
      <c r="I127">
        <v>0</v>
      </c>
      <c r="J127">
        <v>0</v>
      </c>
      <c r="K127">
        <v>0</v>
      </c>
      <c r="L127">
        <v>0</v>
      </c>
      <c r="O127">
        <v>7.5</v>
      </c>
      <c r="P127">
        <v>4</v>
      </c>
      <c r="Q127">
        <v>9.5</v>
      </c>
      <c r="R127">
        <v>3</v>
      </c>
      <c r="S127" s="1"/>
    </row>
    <row r="128" spans="1:19" x14ac:dyDescent="0.3">
      <c r="A128" s="6" t="s">
        <v>330</v>
      </c>
      <c r="B128" t="s">
        <v>53</v>
      </c>
      <c r="C128" t="s">
        <v>29</v>
      </c>
      <c r="D128" t="s">
        <v>331</v>
      </c>
      <c r="E128" t="s">
        <v>332</v>
      </c>
      <c r="F128" t="s">
        <v>56</v>
      </c>
      <c r="G128" t="s">
        <v>336</v>
      </c>
      <c r="H128">
        <v>25</v>
      </c>
      <c r="I128">
        <v>0</v>
      </c>
      <c r="J128">
        <v>0</v>
      </c>
      <c r="K128">
        <v>0</v>
      </c>
      <c r="L128">
        <v>0</v>
      </c>
      <c r="O128">
        <v>7.5</v>
      </c>
      <c r="P128">
        <v>4</v>
      </c>
      <c r="Q128">
        <v>9.5</v>
      </c>
      <c r="R128">
        <v>3</v>
      </c>
      <c r="S128" s="1"/>
    </row>
    <row r="129" spans="1:19" x14ac:dyDescent="0.3">
      <c r="A129" s="6" t="s">
        <v>342</v>
      </c>
      <c r="B129" t="s">
        <v>53</v>
      </c>
      <c r="C129" t="s">
        <v>29</v>
      </c>
      <c r="D129" s="18" t="s">
        <v>343</v>
      </c>
      <c r="E129" s="10" t="s">
        <v>344</v>
      </c>
      <c r="F129" t="s">
        <v>56</v>
      </c>
      <c r="G129" t="s">
        <v>321</v>
      </c>
      <c r="H129">
        <v>150</v>
      </c>
      <c r="I129">
        <v>0</v>
      </c>
      <c r="J129">
        <v>0</v>
      </c>
      <c r="K129">
        <v>0</v>
      </c>
      <c r="L129">
        <v>0</v>
      </c>
    </row>
    <row r="130" spans="1:19" x14ac:dyDescent="0.3">
      <c r="A130" t="s">
        <v>345</v>
      </c>
      <c r="B130" t="s">
        <v>53</v>
      </c>
      <c r="C130" t="s">
        <v>22</v>
      </c>
      <c r="D130" t="s">
        <v>346</v>
      </c>
      <c r="E130" t="s">
        <v>347</v>
      </c>
      <c r="F130" t="s">
        <v>56</v>
      </c>
      <c r="G130" t="s">
        <v>348</v>
      </c>
      <c r="H130">
        <v>10</v>
      </c>
      <c r="I130">
        <v>2</v>
      </c>
      <c r="J130">
        <v>0</v>
      </c>
      <c r="K130">
        <v>0</v>
      </c>
      <c r="L130">
        <v>0</v>
      </c>
      <c r="O130">
        <v>7</v>
      </c>
      <c r="P130">
        <v>3.5</v>
      </c>
      <c r="Q130">
        <v>6.5</v>
      </c>
      <c r="R130">
        <v>1</v>
      </c>
      <c r="S130" s="1"/>
    </row>
    <row r="131" spans="1:19" x14ac:dyDescent="0.3">
      <c r="A131" t="s">
        <v>355</v>
      </c>
      <c r="B131" t="s">
        <v>53</v>
      </c>
      <c r="C131" t="s">
        <v>29</v>
      </c>
      <c r="D131" t="s">
        <v>356</v>
      </c>
      <c r="E131" t="s">
        <v>357</v>
      </c>
      <c r="F131" t="s">
        <v>56</v>
      </c>
      <c r="G131" t="s">
        <v>358</v>
      </c>
      <c r="H131">
        <v>6</v>
      </c>
      <c r="I131">
        <v>0</v>
      </c>
      <c r="J131">
        <v>0</v>
      </c>
      <c r="K131">
        <v>0</v>
      </c>
      <c r="L131">
        <v>0</v>
      </c>
      <c r="O131">
        <v>6</v>
      </c>
      <c r="R131">
        <v>16</v>
      </c>
      <c r="S131" s="1"/>
    </row>
    <row r="132" spans="1:19" x14ac:dyDescent="0.3">
      <c r="A132" t="s">
        <v>367</v>
      </c>
      <c r="B132" t="s">
        <v>53</v>
      </c>
      <c r="C132" t="s">
        <v>29</v>
      </c>
      <c r="D132" t="s">
        <v>368</v>
      </c>
      <c r="E132" t="s">
        <v>369</v>
      </c>
      <c r="F132" t="s">
        <v>56</v>
      </c>
      <c r="G132" t="s">
        <v>370</v>
      </c>
      <c r="H132">
        <v>10</v>
      </c>
      <c r="I132">
        <v>0</v>
      </c>
      <c r="J132">
        <v>0</v>
      </c>
      <c r="K132">
        <v>0</v>
      </c>
      <c r="L132">
        <v>0</v>
      </c>
      <c r="O132">
        <v>11</v>
      </c>
      <c r="R132">
        <v>0</v>
      </c>
      <c r="S132" s="1"/>
    </row>
    <row r="133" spans="1:19" x14ac:dyDescent="0.3">
      <c r="A133" s="6" t="s">
        <v>384</v>
      </c>
      <c r="B133" t="s">
        <v>53</v>
      </c>
      <c r="C133" t="s">
        <v>22</v>
      </c>
      <c r="D133" t="s">
        <v>385</v>
      </c>
      <c r="E133" t="s">
        <v>386</v>
      </c>
      <c r="F133" t="s">
        <v>56</v>
      </c>
      <c r="G133" t="s">
        <v>387</v>
      </c>
      <c r="H133">
        <v>24</v>
      </c>
      <c r="I133">
        <v>0</v>
      </c>
      <c r="J133">
        <v>0</v>
      </c>
      <c r="K133">
        <v>0</v>
      </c>
      <c r="L133">
        <v>0</v>
      </c>
      <c r="O133">
        <v>6</v>
      </c>
      <c r="R133">
        <v>13</v>
      </c>
      <c r="S133" s="1"/>
    </row>
    <row r="134" spans="1:19" x14ac:dyDescent="0.3">
      <c r="A134" s="6" t="s">
        <v>467</v>
      </c>
      <c r="B134" t="s">
        <v>53</v>
      </c>
      <c r="C134" t="s">
        <v>29</v>
      </c>
      <c r="D134" t="s">
        <v>468</v>
      </c>
      <c r="E134" t="s">
        <v>469</v>
      </c>
      <c r="F134" t="s">
        <v>56</v>
      </c>
      <c r="G134" t="s">
        <v>470</v>
      </c>
      <c r="H134">
        <v>24</v>
      </c>
      <c r="I134">
        <v>0</v>
      </c>
      <c r="J134">
        <v>0</v>
      </c>
      <c r="K134">
        <v>0</v>
      </c>
      <c r="L134">
        <v>0</v>
      </c>
      <c r="O134">
        <v>10</v>
      </c>
      <c r="P134">
        <v>3</v>
      </c>
      <c r="Q134">
        <v>9.5</v>
      </c>
      <c r="R134">
        <v>4</v>
      </c>
      <c r="S134" s="1"/>
    </row>
    <row r="135" spans="1:19" x14ac:dyDescent="0.3">
      <c r="A135" t="s">
        <v>484</v>
      </c>
      <c r="B135" t="s">
        <v>53</v>
      </c>
      <c r="D135" t="s">
        <v>485</v>
      </c>
      <c r="E135" t="s">
        <v>486</v>
      </c>
      <c r="F135" t="s">
        <v>56</v>
      </c>
      <c r="G135" t="s">
        <v>487</v>
      </c>
      <c r="H135">
        <v>20</v>
      </c>
      <c r="I135">
        <v>0</v>
      </c>
      <c r="J135">
        <v>0</v>
      </c>
      <c r="K135">
        <v>0</v>
      </c>
      <c r="L135">
        <v>0</v>
      </c>
      <c r="O135">
        <v>14</v>
      </c>
      <c r="R135">
        <v>3</v>
      </c>
      <c r="S135" s="1"/>
    </row>
    <row r="136" spans="1:19" x14ac:dyDescent="0.3">
      <c r="A136" t="s">
        <v>500</v>
      </c>
      <c r="B136" t="s">
        <v>53</v>
      </c>
      <c r="C136" t="s">
        <v>29</v>
      </c>
      <c r="D136" s="10" t="s">
        <v>501</v>
      </c>
      <c r="E136" s="10" t="s">
        <v>502</v>
      </c>
      <c r="F136" t="s">
        <v>56</v>
      </c>
      <c r="G136" t="s">
        <v>503</v>
      </c>
      <c r="H136">
        <v>21</v>
      </c>
      <c r="I136">
        <v>0</v>
      </c>
      <c r="J136">
        <v>0</v>
      </c>
      <c r="K136">
        <v>0</v>
      </c>
      <c r="L136">
        <v>0</v>
      </c>
    </row>
    <row r="137" spans="1:19" x14ac:dyDescent="0.3">
      <c r="A137" s="7" t="s">
        <v>337</v>
      </c>
      <c r="D137" s="18"/>
      <c r="E137" s="10"/>
    </row>
    <row r="138" spans="1:19" x14ac:dyDescent="0.3">
      <c r="A138" s="7" t="s">
        <v>512</v>
      </c>
      <c r="D138" s="10"/>
    </row>
  </sheetData>
  <autoFilter ref="A1:S138" xr:uid="{E6B94256-6987-42BF-B5A4-CCFB3DECE18D}"/>
  <hyperlinks>
    <hyperlink ref="D98" r:id="rId1" xr:uid="{11061F89-E138-4777-96AE-8763A9881CB0}"/>
    <hyperlink ref="D11" r:id="rId2" xr:uid="{CA651A0B-6077-4409-9E98-EA2B99181FD5}"/>
    <hyperlink ref="D17" r:id="rId3" xr:uid="{A684E9D6-E509-4584-857C-CA15E09E1C2C}"/>
    <hyperlink ref="D34" r:id="rId4" xr:uid="{AA43EBD4-5569-41EA-9EBD-8958E51CC967}"/>
    <hyperlink ref="D10" r:id="rId5" xr:uid="{2E439F65-4DAA-4D46-A8B6-6946DA8855BD}"/>
    <hyperlink ref="D37" r:id="rId6" xr:uid="{7407D5B1-82C1-4CDE-9980-450E9E9D7F4D}"/>
    <hyperlink ref="D113" r:id="rId7" display="tyler@w2energyservices.com" xr:uid="{BAF31975-AF4D-4ACD-BB2A-2FEEBA6C593F}"/>
    <hyperlink ref="D52" r:id="rId8" xr:uid="{193B7362-508F-4DEE-B4AC-2F351EB8168E}"/>
    <hyperlink ref="D55" r:id="rId9" xr:uid="{AFFA5ABD-EAA6-4975-A650-144F19DD4FA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98D8-ABFA-45AF-85B5-31576509059D}">
  <dimension ref="A1:S146"/>
  <sheetViews>
    <sheetView topLeftCell="A130" workbookViewId="0">
      <selection activeCell="B141" sqref="B141:C146"/>
    </sheetView>
  </sheetViews>
  <sheetFormatPr defaultRowHeight="14.4" x14ac:dyDescent="0.3"/>
  <cols>
    <col min="1" max="1" width="40.109375" bestFit="1" customWidth="1"/>
    <col min="2" max="2" width="15.88671875" customWidth="1"/>
    <col min="4" max="4" width="44.5546875" bestFit="1" customWidth="1"/>
    <col min="5" max="5" width="13.6640625" bestFit="1" customWidth="1"/>
    <col min="6" max="6" width="20.109375" bestFit="1" customWidth="1"/>
    <col min="7" max="7" width="22.33203125" customWidth="1"/>
    <col min="13" max="13" width="28.33203125" bestFit="1" customWidth="1"/>
    <col min="14" max="14" width="24.6640625" bestFit="1" customWidth="1"/>
    <col min="15" max="15" width="33.6640625" bestFit="1" customWidth="1"/>
    <col min="16" max="16" width="28.44140625" customWidth="1"/>
    <col min="17" max="17" width="28.88671875" customWidth="1"/>
    <col min="18" max="18" width="32.33203125" customWidth="1"/>
    <col min="19" max="19" width="29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3">
      <c r="A2" s="16" t="s">
        <v>83</v>
      </c>
      <c r="B2" t="s">
        <v>21</v>
      </c>
      <c r="C2" t="s">
        <v>22</v>
      </c>
      <c r="D2" s="18" t="s">
        <v>84</v>
      </c>
      <c r="E2" s="10" t="s">
        <v>85</v>
      </c>
      <c r="F2" t="s">
        <v>25</v>
      </c>
      <c r="G2" t="s">
        <v>521</v>
      </c>
      <c r="H2">
        <v>20</v>
      </c>
      <c r="I2">
        <v>10</v>
      </c>
      <c r="J2">
        <v>4</v>
      </c>
      <c r="K2">
        <v>0</v>
      </c>
      <c r="L2">
        <v>0</v>
      </c>
      <c r="M2" s="16">
        <v>2</v>
      </c>
      <c r="S2" s="1"/>
    </row>
    <row r="3" spans="1:19" x14ac:dyDescent="0.3">
      <c r="A3" s="16" t="s">
        <v>488</v>
      </c>
      <c r="B3" t="s">
        <v>28</v>
      </c>
      <c r="C3" t="s">
        <v>29</v>
      </c>
      <c r="D3" t="s">
        <v>489</v>
      </c>
      <c r="E3" t="s">
        <v>490</v>
      </c>
      <c r="F3" t="s">
        <v>155</v>
      </c>
      <c r="G3" t="s">
        <v>491</v>
      </c>
      <c r="H3">
        <v>9</v>
      </c>
      <c r="I3">
        <v>3</v>
      </c>
      <c r="J3">
        <v>1</v>
      </c>
      <c r="K3">
        <v>0</v>
      </c>
      <c r="L3">
        <v>1</v>
      </c>
      <c r="M3" s="16">
        <v>4</v>
      </c>
      <c r="O3">
        <v>9</v>
      </c>
      <c r="R3">
        <v>19</v>
      </c>
      <c r="S3" s="1"/>
    </row>
    <row r="4" spans="1:19" x14ac:dyDescent="0.3">
      <c r="A4" s="16" t="s">
        <v>45</v>
      </c>
      <c r="B4" t="s">
        <v>21</v>
      </c>
      <c r="C4" t="s">
        <v>22</v>
      </c>
      <c r="D4" s="10" t="s">
        <v>41</v>
      </c>
      <c r="E4" s="10" t="s">
        <v>42</v>
      </c>
      <c r="F4" t="s">
        <v>43</v>
      </c>
      <c r="G4" t="s">
        <v>46</v>
      </c>
      <c r="H4">
        <v>55</v>
      </c>
      <c r="I4">
        <v>20</v>
      </c>
      <c r="J4">
        <v>9</v>
      </c>
      <c r="K4">
        <v>0</v>
      </c>
      <c r="L4">
        <v>2</v>
      </c>
      <c r="M4" s="16">
        <v>4</v>
      </c>
      <c r="S4" s="1"/>
    </row>
    <row r="5" spans="1:19" x14ac:dyDescent="0.3">
      <c r="A5" s="16" t="s">
        <v>152</v>
      </c>
      <c r="B5" t="s">
        <v>28</v>
      </c>
      <c r="C5" t="s">
        <v>22</v>
      </c>
      <c r="D5" t="s">
        <v>153</v>
      </c>
      <c r="E5" t="s">
        <v>154</v>
      </c>
      <c r="F5" t="s">
        <v>155</v>
      </c>
      <c r="G5" t="s">
        <v>156</v>
      </c>
      <c r="H5">
        <v>30</v>
      </c>
      <c r="I5">
        <v>0</v>
      </c>
      <c r="J5">
        <v>0</v>
      </c>
      <c r="K5">
        <v>0</v>
      </c>
      <c r="L5">
        <v>0</v>
      </c>
      <c r="M5" s="16">
        <v>5</v>
      </c>
      <c r="O5">
        <v>10</v>
      </c>
      <c r="R5">
        <v>2</v>
      </c>
      <c r="S5" s="1"/>
    </row>
    <row r="6" spans="1:19" x14ac:dyDescent="0.3">
      <c r="A6" s="16" t="s">
        <v>275</v>
      </c>
      <c r="B6" t="s">
        <v>28</v>
      </c>
      <c r="C6" t="s">
        <v>22</v>
      </c>
      <c r="D6" t="s">
        <v>276</v>
      </c>
      <c r="E6" t="s">
        <v>277</v>
      </c>
      <c r="F6" t="s">
        <v>279</v>
      </c>
      <c r="G6" t="s">
        <v>282</v>
      </c>
      <c r="H6">
        <v>100</v>
      </c>
      <c r="I6">
        <v>40</v>
      </c>
      <c r="J6">
        <v>20</v>
      </c>
      <c r="K6">
        <v>0</v>
      </c>
      <c r="L6">
        <v>0</v>
      </c>
      <c r="M6" s="16">
        <v>5</v>
      </c>
      <c r="O6">
        <v>21</v>
      </c>
      <c r="R6">
        <v>16</v>
      </c>
      <c r="S6" s="1"/>
    </row>
    <row r="7" spans="1:19" x14ac:dyDescent="0.3">
      <c r="A7" s="16" t="s">
        <v>425</v>
      </c>
      <c r="B7" t="s">
        <v>28</v>
      </c>
      <c r="C7" t="s">
        <v>22</v>
      </c>
      <c r="D7" t="s">
        <v>426</v>
      </c>
      <c r="E7" t="s">
        <v>427</v>
      </c>
      <c r="F7" t="s">
        <v>25</v>
      </c>
      <c r="G7" t="s">
        <v>428</v>
      </c>
      <c r="H7">
        <v>13</v>
      </c>
      <c r="I7">
        <v>0</v>
      </c>
      <c r="J7">
        <v>0</v>
      </c>
      <c r="K7">
        <v>0</v>
      </c>
      <c r="L7">
        <v>0</v>
      </c>
      <c r="M7" s="16">
        <v>5</v>
      </c>
      <c r="O7">
        <v>10</v>
      </c>
      <c r="R7">
        <v>2</v>
      </c>
      <c r="S7" s="1"/>
    </row>
    <row r="8" spans="1:19" x14ac:dyDescent="0.3">
      <c r="A8" s="16" t="s">
        <v>275</v>
      </c>
      <c r="B8" t="s">
        <v>21</v>
      </c>
      <c r="C8" t="s">
        <v>22</v>
      </c>
      <c r="D8" t="s">
        <v>276</v>
      </c>
      <c r="E8" t="s">
        <v>277</v>
      </c>
      <c r="F8" t="s">
        <v>279</v>
      </c>
      <c r="G8" t="s">
        <v>282</v>
      </c>
      <c r="H8">
        <v>30</v>
      </c>
      <c r="I8">
        <v>12</v>
      </c>
      <c r="J8">
        <v>6</v>
      </c>
      <c r="K8">
        <v>0</v>
      </c>
      <c r="L8">
        <v>0</v>
      </c>
      <c r="M8" s="16">
        <v>5</v>
      </c>
      <c r="N8" s="3">
        <v>10</v>
      </c>
      <c r="O8">
        <v>3</v>
      </c>
      <c r="R8">
        <v>11</v>
      </c>
      <c r="S8" s="1"/>
    </row>
    <row r="9" spans="1:19" x14ac:dyDescent="0.3">
      <c r="A9" s="16" t="s">
        <v>298</v>
      </c>
      <c r="B9" t="s">
        <v>21</v>
      </c>
      <c r="C9" t="s">
        <v>22</v>
      </c>
      <c r="D9" t="s">
        <v>299</v>
      </c>
      <c r="E9" t="s">
        <v>300</v>
      </c>
      <c r="F9" t="s">
        <v>301</v>
      </c>
      <c r="G9" t="s">
        <v>302</v>
      </c>
      <c r="H9">
        <v>20</v>
      </c>
      <c r="I9">
        <v>0</v>
      </c>
      <c r="J9">
        <v>0</v>
      </c>
      <c r="K9">
        <v>0</v>
      </c>
      <c r="L9">
        <v>0</v>
      </c>
      <c r="M9" s="16">
        <v>5</v>
      </c>
      <c r="O9">
        <v>7.5</v>
      </c>
      <c r="P9">
        <v>4.5</v>
      </c>
      <c r="Q9">
        <v>7</v>
      </c>
      <c r="R9">
        <v>2</v>
      </c>
      <c r="S9" s="1"/>
    </row>
    <row r="10" spans="1:19" x14ac:dyDescent="0.3">
      <c r="A10" s="16" t="s">
        <v>103</v>
      </c>
      <c r="B10" t="s">
        <v>28</v>
      </c>
      <c r="C10" t="s">
        <v>22</v>
      </c>
      <c r="D10" s="18" t="s">
        <v>104</v>
      </c>
      <c r="E10" s="10" t="s">
        <v>105</v>
      </c>
      <c r="F10" t="s">
        <v>43</v>
      </c>
      <c r="G10" t="s">
        <v>106</v>
      </c>
      <c r="H10">
        <v>13</v>
      </c>
      <c r="I10">
        <v>4</v>
      </c>
      <c r="J10">
        <v>2</v>
      </c>
      <c r="K10">
        <v>0</v>
      </c>
      <c r="L10">
        <v>1</v>
      </c>
      <c r="M10" s="16">
        <v>6</v>
      </c>
    </row>
    <row r="11" spans="1:19" x14ac:dyDescent="0.3">
      <c r="A11" s="16" t="s">
        <v>159</v>
      </c>
      <c r="B11" t="s">
        <v>28</v>
      </c>
      <c r="C11" t="s">
        <v>22</v>
      </c>
      <c r="D11" t="s">
        <v>160</v>
      </c>
      <c r="E11" t="s">
        <v>161</v>
      </c>
      <c r="F11" t="s">
        <v>162</v>
      </c>
      <c r="G11" t="s">
        <v>163</v>
      </c>
      <c r="H11">
        <v>17</v>
      </c>
      <c r="I11">
        <v>6</v>
      </c>
      <c r="J11">
        <v>3</v>
      </c>
      <c r="K11">
        <v>4</v>
      </c>
      <c r="L11">
        <v>0</v>
      </c>
      <c r="M11" s="16">
        <v>6</v>
      </c>
      <c r="O11">
        <v>3</v>
      </c>
      <c r="R11">
        <v>11</v>
      </c>
      <c r="S11" s="1"/>
    </row>
    <row r="12" spans="1:19" x14ac:dyDescent="0.3">
      <c r="A12" s="19" t="s">
        <v>396</v>
      </c>
      <c r="B12" t="s">
        <v>28</v>
      </c>
      <c r="C12" t="s">
        <v>22</v>
      </c>
      <c r="D12" s="18" t="s">
        <v>397</v>
      </c>
      <c r="E12" s="10" t="s">
        <v>398</v>
      </c>
      <c r="F12" t="s">
        <v>279</v>
      </c>
      <c r="G12" t="s">
        <v>399</v>
      </c>
      <c r="H12">
        <v>21</v>
      </c>
      <c r="I12">
        <v>8</v>
      </c>
      <c r="J12">
        <v>4</v>
      </c>
      <c r="K12">
        <v>0</v>
      </c>
      <c r="L12">
        <v>0</v>
      </c>
      <c r="M12" s="16">
        <v>6</v>
      </c>
    </row>
    <row r="13" spans="1:19" x14ac:dyDescent="0.3">
      <c r="A13" s="16" t="s">
        <v>488</v>
      </c>
      <c r="B13" t="s">
        <v>28</v>
      </c>
      <c r="C13" t="s">
        <v>29</v>
      </c>
      <c r="D13" t="s">
        <v>489</v>
      </c>
      <c r="E13" t="s">
        <v>490</v>
      </c>
      <c r="F13" t="s">
        <v>155</v>
      </c>
      <c r="G13" t="s">
        <v>492</v>
      </c>
      <c r="H13">
        <v>9</v>
      </c>
      <c r="I13">
        <v>3</v>
      </c>
      <c r="J13">
        <v>1</v>
      </c>
      <c r="K13">
        <v>0</v>
      </c>
      <c r="L13">
        <v>1</v>
      </c>
      <c r="M13" s="16">
        <v>6</v>
      </c>
      <c r="O13">
        <v>9</v>
      </c>
      <c r="R13">
        <v>19</v>
      </c>
      <c r="S13" s="1"/>
    </row>
    <row r="14" spans="1:19" x14ac:dyDescent="0.3">
      <c r="A14" s="16" t="s">
        <v>58</v>
      </c>
      <c r="B14" t="s">
        <v>21</v>
      </c>
      <c r="C14" t="s">
        <v>29</v>
      </c>
      <c r="D14" s="18" t="s">
        <v>59</v>
      </c>
      <c r="E14" s="10" t="s">
        <v>60</v>
      </c>
      <c r="F14" t="s">
        <v>25</v>
      </c>
      <c r="G14" t="s">
        <v>61</v>
      </c>
      <c r="H14">
        <v>30</v>
      </c>
      <c r="I14">
        <v>15</v>
      </c>
      <c r="J14">
        <v>5</v>
      </c>
      <c r="K14">
        <v>0</v>
      </c>
      <c r="L14">
        <v>0</v>
      </c>
      <c r="M14" s="16">
        <v>6</v>
      </c>
      <c r="N14" s="3">
        <v>10</v>
      </c>
      <c r="S14" s="1"/>
    </row>
    <row r="15" spans="1:19" x14ac:dyDescent="0.3">
      <c r="A15" s="13" t="s">
        <v>87</v>
      </c>
      <c r="B15" t="s">
        <v>21</v>
      </c>
      <c r="C15" t="s">
        <v>22</v>
      </c>
      <c r="D15" s="18" t="s">
        <v>84</v>
      </c>
      <c r="E15" s="10" t="s">
        <v>85</v>
      </c>
      <c r="F15" t="s">
        <v>25</v>
      </c>
      <c r="G15" t="s">
        <v>88</v>
      </c>
      <c r="H15">
        <v>32</v>
      </c>
      <c r="I15">
        <v>10</v>
      </c>
      <c r="J15">
        <v>5</v>
      </c>
      <c r="K15">
        <v>0</v>
      </c>
      <c r="L15">
        <v>1</v>
      </c>
      <c r="M15" s="3">
        <v>7</v>
      </c>
      <c r="S15" s="1"/>
    </row>
    <row r="16" spans="1:19" x14ac:dyDescent="0.3">
      <c r="A16" s="16" t="s">
        <v>134</v>
      </c>
      <c r="B16" t="s">
        <v>28</v>
      </c>
      <c r="C16" t="s">
        <v>29</v>
      </c>
      <c r="D16" t="s">
        <v>135</v>
      </c>
      <c r="E16" t="s">
        <v>136</v>
      </c>
      <c r="F16" t="s">
        <v>137</v>
      </c>
      <c r="G16" t="s">
        <v>138</v>
      </c>
      <c r="H16">
        <v>20</v>
      </c>
      <c r="I16">
        <v>8</v>
      </c>
      <c r="J16">
        <v>4</v>
      </c>
      <c r="K16">
        <v>0</v>
      </c>
      <c r="L16">
        <v>0</v>
      </c>
      <c r="M16" s="3">
        <v>8</v>
      </c>
      <c r="O16">
        <v>6</v>
      </c>
      <c r="R16">
        <v>14</v>
      </c>
      <c r="S16" s="1"/>
    </row>
    <row r="17" spans="1:19" x14ac:dyDescent="0.3">
      <c r="A17" s="16" t="s">
        <v>363</v>
      </c>
      <c r="B17" t="s">
        <v>28</v>
      </c>
      <c r="C17" t="s">
        <v>22</v>
      </c>
      <c r="D17" t="s">
        <v>364</v>
      </c>
      <c r="E17" t="s">
        <v>365</v>
      </c>
      <c r="F17" t="s">
        <v>92</v>
      </c>
      <c r="G17" t="s">
        <v>366</v>
      </c>
      <c r="H17">
        <v>12</v>
      </c>
      <c r="I17">
        <v>4</v>
      </c>
      <c r="J17">
        <v>2</v>
      </c>
      <c r="K17">
        <v>2</v>
      </c>
      <c r="L17">
        <v>0</v>
      </c>
      <c r="M17" s="3">
        <v>8</v>
      </c>
      <c r="O17">
        <v>6</v>
      </c>
      <c r="R17">
        <v>13</v>
      </c>
      <c r="S17" s="1"/>
    </row>
    <row r="18" spans="1:19" x14ac:dyDescent="0.3">
      <c r="A18" s="16" t="s">
        <v>435</v>
      </c>
      <c r="B18" t="s">
        <v>28</v>
      </c>
      <c r="C18" t="s">
        <v>29</v>
      </c>
      <c r="D18" s="18" t="s">
        <v>436</v>
      </c>
      <c r="E18" s="10" t="s">
        <v>437</v>
      </c>
      <c r="F18" t="s">
        <v>32</v>
      </c>
      <c r="G18" t="s">
        <v>438</v>
      </c>
      <c r="H18">
        <v>19</v>
      </c>
      <c r="I18">
        <v>6</v>
      </c>
      <c r="J18">
        <v>3</v>
      </c>
      <c r="K18">
        <v>0</v>
      </c>
      <c r="L18">
        <v>2</v>
      </c>
      <c r="M18" s="3">
        <v>8</v>
      </c>
    </row>
    <row r="19" spans="1:19" x14ac:dyDescent="0.3">
      <c r="A19" s="16" t="s">
        <v>450</v>
      </c>
      <c r="B19" t="s">
        <v>28</v>
      </c>
      <c r="C19" t="s">
        <v>22</v>
      </c>
      <c r="D19" t="s">
        <v>451</v>
      </c>
      <c r="E19" t="s">
        <v>452</v>
      </c>
      <c r="F19" t="s">
        <v>38</v>
      </c>
      <c r="G19" t="s">
        <v>453</v>
      </c>
      <c r="H19">
        <v>35</v>
      </c>
      <c r="I19">
        <v>12</v>
      </c>
      <c r="J19">
        <v>6</v>
      </c>
      <c r="K19">
        <v>0</v>
      </c>
      <c r="L19">
        <v>5</v>
      </c>
      <c r="M19" s="3">
        <v>8</v>
      </c>
      <c r="O19">
        <v>6</v>
      </c>
      <c r="R19">
        <v>16</v>
      </c>
      <c r="S19" s="1"/>
    </row>
    <row r="20" spans="1:19" x14ac:dyDescent="0.3">
      <c r="A20" s="19" t="s">
        <v>396</v>
      </c>
      <c r="B20" t="s">
        <v>28</v>
      </c>
      <c r="C20" t="s">
        <v>22</v>
      </c>
      <c r="D20" s="18" t="s">
        <v>397</v>
      </c>
      <c r="E20" s="10" t="s">
        <v>398</v>
      </c>
      <c r="F20" t="s">
        <v>279</v>
      </c>
      <c r="G20" t="s">
        <v>400</v>
      </c>
      <c r="H20">
        <v>9</v>
      </c>
      <c r="I20">
        <v>4</v>
      </c>
      <c r="J20">
        <v>2</v>
      </c>
      <c r="K20">
        <v>0</v>
      </c>
      <c r="L20">
        <v>0</v>
      </c>
      <c r="M20" s="3">
        <v>9</v>
      </c>
    </row>
    <row r="21" spans="1:19" x14ac:dyDescent="0.3">
      <c r="A21" s="16" t="s">
        <v>446</v>
      </c>
      <c r="B21" t="s">
        <v>28</v>
      </c>
      <c r="D21" t="s">
        <v>447</v>
      </c>
      <c r="E21" t="s">
        <v>448</v>
      </c>
      <c r="F21" t="s">
        <v>38</v>
      </c>
      <c r="G21" t="s">
        <v>449</v>
      </c>
      <c r="H21">
        <v>10</v>
      </c>
      <c r="I21">
        <v>4</v>
      </c>
      <c r="J21">
        <v>2</v>
      </c>
      <c r="K21">
        <v>0</v>
      </c>
      <c r="L21">
        <v>2</v>
      </c>
      <c r="M21" s="3">
        <v>9</v>
      </c>
      <c r="O21">
        <v>7</v>
      </c>
      <c r="R21">
        <v>16</v>
      </c>
      <c r="S21" s="1"/>
    </row>
    <row r="22" spans="1:19" x14ac:dyDescent="0.3">
      <c r="A22" s="16" t="s">
        <v>392</v>
      </c>
      <c r="B22" t="s">
        <v>21</v>
      </c>
      <c r="D22" s="18" t="s">
        <v>393</v>
      </c>
      <c r="E22" s="10" t="s">
        <v>394</v>
      </c>
      <c r="F22" t="s">
        <v>32</v>
      </c>
      <c r="G22" t="s">
        <v>395</v>
      </c>
      <c r="H22">
        <v>6</v>
      </c>
      <c r="I22">
        <v>2</v>
      </c>
      <c r="J22">
        <v>1</v>
      </c>
      <c r="K22">
        <v>2</v>
      </c>
      <c r="L22">
        <v>0</v>
      </c>
      <c r="M22" s="3">
        <v>9</v>
      </c>
    </row>
    <row r="23" spans="1:19" x14ac:dyDescent="0.3">
      <c r="A23" s="16" t="s">
        <v>27</v>
      </c>
      <c r="B23" t="s">
        <v>28</v>
      </c>
      <c r="C23" t="s">
        <v>29</v>
      </c>
      <c r="D23" s="18" t="s">
        <v>30</v>
      </c>
      <c r="E23" s="10" t="s">
        <v>31</v>
      </c>
      <c r="F23" t="s">
        <v>32</v>
      </c>
      <c r="G23" t="s">
        <v>33</v>
      </c>
      <c r="H23">
        <v>13</v>
      </c>
      <c r="I23">
        <v>6</v>
      </c>
      <c r="J23">
        <v>3</v>
      </c>
      <c r="K23">
        <v>0</v>
      </c>
      <c r="L23">
        <v>1</v>
      </c>
      <c r="M23" s="3">
        <v>10</v>
      </c>
    </row>
    <row r="24" spans="1:19" x14ac:dyDescent="0.3">
      <c r="A24" s="16" t="s">
        <v>303</v>
      </c>
      <c r="B24" t="s">
        <v>21</v>
      </c>
      <c r="C24" t="s">
        <v>29</v>
      </c>
      <c r="D24" t="s">
        <v>304</v>
      </c>
      <c r="E24" t="s">
        <v>305</v>
      </c>
      <c r="F24" t="s">
        <v>306</v>
      </c>
      <c r="G24" t="s">
        <v>307</v>
      </c>
      <c r="H24">
        <v>30</v>
      </c>
      <c r="I24">
        <v>12</v>
      </c>
      <c r="J24">
        <v>6</v>
      </c>
      <c r="K24">
        <v>0</v>
      </c>
      <c r="L24">
        <v>4</v>
      </c>
      <c r="M24" s="3">
        <v>10</v>
      </c>
      <c r="O24">
        <v>12</v>
      </c>
      <c r="P24">
        <v>7</v>
      </c>
      <c r="Q24">
        <v>11.5</v>
      </c>
      <c r="R24">
        <v>7</v>
      </c>
      <c r="S24" s="1"/>
    </row>
    <row r="25" spans="1:19" x14ac:dyDescent="0.3">
      <c r="A25" s="16" t="s">
        <v>27</v>
      </c>
      <c r="B25" t="s">
        <v>28</v>
      </c>
      <c r="C25" t="s">
        <v>29</v>
      </c>
      <c r="D25" s="18" t="s">
        <v>30</v>
      </c>
      <c r="E25" s="10" t="s">
        <v>31</v>
      </c>
      <c r="F25" t="s">
        <v>32</v>
      </c>
      <c r="G25" t="s">
        <v>34</v>
      </c>
      <c r="H25">
        <v>13</v>
      </c>
      <c r="I25">
        <v>6</v>
      </c>
      <c r="J25">
        <v>3</v>
      </c>
      <c r="K25">
        <v>0</v>
      </c>
      <c r="L25">
        <v>1</v>
      </c>
      <c r="M25" s="3">
        <v>11</v>
      </c>
    </row>
    <row r="26" spans="1:19" x14ac:dyDescent="0.3">
      <c r="A26" s="16" t="s">
        <v>120</v>
      </c>
      <c r="B26" t="s">
        <v>28</v>
      </c>
      <c r="C26" t="s">
        <v>22</v>
      </c>
      <c r="D26" s="18" t="s">
        <v>121</v>
      </c>
      <c r="E26" s="10" t="s">
        <v>122</v>
      </c>
      <c r="F26" t="s">
        <v>32</v>
      </c>
      <c r="G26" t="s">
        <v>123</v>
      </c>
      <c r="H26">
        <v>7</v>
      </c>
      <c r="I26">
        <v>2</v>
      </c>
      <c r="J26">
        <v>1</v>
      </c>
      <c r="K26">
        <v>0</v>
      </c>
      <c r="L26">
        <v>0</v>
      </c>
      <c r="M26" s="3">
        <v>11</v>
      </c>
    </row>
    <row r="27" spans="1:19" x14ac:dyDescent="0.3">
      <c r="A27" s="16" t="s">
        <v>124</v>
      </c>
      <c r="B27" t="s">
        <v>28</v>
      </c>
      <c r="C27" t="s">
        <v>22</v>
      </c>
      <c r="D27" s="18" t="s">
        <v>121</v>
      </c>
      <c r="E27" s="10" t="s">
        <v>122</v>
      </c>
      <c r="F27" t="s">
        <v>32</v>
      </c>
      <c r="G27" t="s">
        <v>34</v>
      </c>
      <c r="H27">
        <v>6</v>
      </c>
      <c r="I27">
        <v>2</v>
      </c>
      <c r="J27">
        <v>1</v>
      </c>
      <c r="K27">
        <v>0</v>
      </c>
      <c r="L27">
        <v>0</v>
      </c>
      <c r="M27" s="3">
        <v>11</v>
      </c>
    </row>
    <row r="28" spans="1:19" x14ac:dyDescent="0.3">
      <c r="A28" s="16" t="s">
        <v>283</v>
      </c>
      <c r="B28" t="s">
        <v>28</v>
      </c>
      <c r="C28" t="s">
        <v>22</v>
      </c>
      <c r="D28" s="18" t="s">
        <v>284</v>
      </c>
      <c r="E28" s="10" t="s">
        <v>285</v>
      </c>
      <c r="F28" t="s">
        <v>32</v>
      </c>
      <c r="G28" t="s">
        <v>286</v>
      </c>
      <c r="H28">
        <v>10</v>
      </c>
      <c r="I28">
        <v>4</v>
      </c>
      <c r="J28">
        <v>2</v>
      </c>
      <c r="K28">
        <v>0</v>
      </c>
      <c r="L28">
        <v>0</v>
      </c>
      <c r="M28" s="3">
        <v>12</v>
      </c>
    </row>
    <row r="29" spans="1:19" x14ac:dyDescent="0.3">
      <c r="A29" s="16" t="s">
        <v>146</v>
      </c>
      <c r="B29" t="s">
        <v>21</v>
      </c>
      <c r="C29" t="s">
        <v>29</v>
      </c>
      <c r="D29" t="s">
        <v>147</v>
      </c>
      <c r="E29" t="s">
        <v>148</v>
      </c>
      <c r="F29" t="s">
        <v>25</v>
      </c>
      <c r="G29" t="s">
        <v>242</v>
      </c>
      <c r="H29">
        <v>75</v>
      </c>
      <c r="I29">
        <v>23</v>
      </c>
      <c r="J29">
        <v>5</v>
      </c>
      <c r="K29">
        <v>0</v>
      </c>
      <c r="L29">
        <v>0</v>
      </c>
      <c r="M29" s="7">
        <v>23</v>
      </c>
      <c r="O29">
        <v>23</v>
      </c>
      <c r="P29">
        <v>15.5</v>
      </c>
      <c r="Q29">
        <v>22.5</v>
      </c>
      <c r="R29">
        <v>16.5</v>
      </c>
      <c r="S29" s="1"/>
    </row>
    <row r="30" spans="1:19" x14ac:dyDescent="0.3">
      <c r="A30" s="17" t="s">
        <v>146</v>
      </c>
      <c r="B30" t="s">
        <v>21</v>
      </c>
      <c r="C30" t="s">
        <v>29</v>
      </c>
      <c r="D30" t="s">
        <v>147</v>
      </c>
      <c r="E30" t="s">
        <v>148</v>
      </c>
      <c r="F30" t="s">
        <v>25</v>
      </c>
      <c r="G30" t="s">
        <v>150</v>
      </c>
      <c r="H30">
        <v>75</v>
      </c>
      <c r="I30">
        <v>0</v>
      </c>
      <c r="J30">
        <v>0</v>
      </c>
      <c r="K30">
        <v>0</v>
      </c>
      <c r="L30">
        <v>0</v>
      </c>
      <c r="M30" s="7">
        <v>25</v>
      </c>
      <c r="O30">
        <v>19</v>
      </c>
      <c r="P30">
        <v>11</v>
      </c>
      <c r="Q30">
        <v>18.5</v>
      </c>
      <c r="R30">
        <v>12.5</v>
      </c>
      <c r="S30" s="1"/>
    </row>
    <row r="31" spans="1:19" x14ac:dyDescent="0.3">
      <c r="A31" t="s">
        <v>112</v>
      </c>
      <c r="B31" t="s">
        <v>113</v>
      </c>
      <c r="C31" t="s">
        <v>22</v>
      </c>
      <c r="D31" t="s">
        <v>114</v>
      </c>
      <c r="E31" t="s">
        <v>115</v>
      </c>
      <c r="F31" t="s">
        <v>92</v>
      </c>
      <c r="G31" t="s">
        <v>116</v>
      </c>
      <c r="H31">
        <v>100</v>
      </c>
      <c r="I31">
        <v>0</v>
      </c>
      <c r="J31">
        <v>0</v>
      </c>
      <c r="K31">
        <v>0</v>
      </c>
      <c r="L31">
        <v>0</v>
      </c>
      <c r="O31">
        <v>4</v>
      </c>
      <c r="R31">
        <v>14</v>
      </c>
      <c r="S31" s="1"/>
    </row>
    <row r="32" spans="1:19" x14ac:dyDescent="0.3">
      <c r="A32" t="s">
        <v>170</v>
      </c>
      <c r="B32" t="s">
        <v>113</v>
      </c>
      <c r="D32" t="s">
        <v>171</v>
      </c>
      <c r="E32" t="s">
        <v>172</v>
      </c>
      <c r="F32" t="s">
        <v>56</v>
      </c>
      <c r="G32" t="s">
        <v>173</v>
      </c>
      <c r="H32">
        <v>80</v>
      </c>
      <c r="I32">
        <v>0</v>
      </c>
      <c r="J32">
        <v>0</v>
      </c>
      <c r="K32">
        <v>0</v>
      </c>
      <c r="L32">
        <v>0</v>
      </c>
      <c r="O32">
        <v>7</v>
      </c>
      <c r="R32">
        <v>4</v>
      </c>
      <c r="S32" s="1"/>
    </row>
    <row r="33" spans="1:19" x14ac:dyDescent="0.3">
      <c r="A33" t="s">
        <v>474</v>
      </c>
      <c r="B33" t="s">
        <v>113</v>
      </c>
      <c r="C33" t="s">
        <v>22</v>
      </c>
      <c r="D33" t="s">
        <v>475</v>
      </c>
      <c r="E33" t="s">
        <v>476</v>
      </c>
      <c r="F33" t="s">
        <v>477</v>
      </c>
      <c r="G33" t="s">
        <v>478</v>
      </c>
      <c r="H33">
        <v>36</v>
      </c>
      <c r="I33">
        <v>0</v>
      </c>
      <c r="J33">
        <v>0</v>
      </c>
      <c r="K33">
        <v>0</v>
      </c>
      <c r="L33">
        <v>0</v>
      </c>
      <c r="O33">
        <v>6</v>
      </c>
      <c r="R33">
        <v>7</v>
      </c>
      <c r="S33" s="1"/>
    </row>
    <row r="34" spans="1:19" x14ac:dyDescent="0.3">
      <c r="A34" t="s">
        <v>35</v>
      </c>
      <c r="B34" t="s">
        <v>28</v>
      </c>
      <c r="C34" t="s">
        <v>29</v>
      </c>
      <c r="D34" t="s">
        <v>36</v>
      </c>
      <c r="E34" t="s">
        <v>37</v>
      </c>
      <c r="F34" t="s">
        <v>38</v>
      </c>
      <c r="G34" t="s">
        <v>39</v>
      </c>
      <c r="H34">
        <v>10</v>
      </c>
      <c r="I34">
        <v>4</v>
      </c>
      <c r="J34">
        <v>2</v>
      </c>
      <c r="K34">
        <v>0</v>
      </c>
      <c r="L34">
        <v>2</v>
      </c>
      <c r="O34">
        <v>15</v>
      </c>
      <c r="R34">
        <v>25</v>
      </c>
      <c r="S34" s="1"/>
    </row>
    <row r="35" spans="1:19" x14ac:dyDescent="0.3">
      <c r="A35" t="s">
        <v>164</v>
      </c>
      <c r="B35" t="s">
        <v>28</v>
      </c>
      <c r="C35" t="s">
        <v>22</v>
      </c>
      <c r="D35" t="s">
        <v>165</v>
      </c>
      <c r="E35" t="s">
        <v>166</v>
      </c>
      <c r="F35" t="s">
        <v>32</v>
      </c>
      <c r="G35" t="s">
        <v>167</v>
      </c>
      <c r="H35">
        <v>25</v>
      </c>
      <c r="I35">
        <v>0</v>
      </c>
      <c r="J35">
        <v>0</v>
      </c>
      <c r="K35">
        <v>0</v>
      </c>
      <c r="L35">
        <v>0</v>
      </c>
      <c r="O35">
        <v>12</v>
      </c>
      <c r="R35">
        <v>5</v>
      </c>
      <c r="S35" s="1"/>
    </row>
    <row r="36" spans="1:19" x14ac:dyDescent="0.3">
      <c r="A36" t="s">
        <v>183</v>
      </c>
      <c r="B36" t="s">
        <v>28</v>
      </c>
      <c r="C36" t="s">
        <v>22</v>
      </c>
      <c r="D36" t="s">
        <v>184</v>
      </c>
      <c r="E36" t="s">
        <v>185</v>
      </c>
      <c r="F36" t="s">
        <v>186</v>
      </c>
      <c r="G36" t="s">
        <v>516</v>
      </c>
      <c r="H36">
        <v>40</v>
      </c>
      <c r="I36">
        <v>14</v>
      </c>
      <c r="J36">
        <v>7</v>
      </c>
      <c r="K36">
        <v>0</v>
      </c>
      <c r="L36">
        <v>0</v>
      </c>
      <c r="O36">
        <v>12</v>
      </c>
      <c r="R36">
        <v>8</v>
      </c>
      <c r="S36" s="1"/>
    </row>
    <row r="37" spans="1:19" x14ac:dyDescent="0.3">
      <c r="A37" t="s">
        <v>193</v>
      </c>
      <c r="B37" t="s">
        <v>28</v>
      </c>
      <c r="C37" t="s">
        <v>22</v>
      </c>
      <c r="D37" t="s">
        <v>194</v>
      </c>
      <c r="E37" t="s">
        <v>195</v>
      </c>
      <c r="F37" t="s">
        <v>43</v>
      </c>
      <c r="G37" t="s">
        <v>196</v>
      </c>
      <c r="H37">
        <v>10</v>
      </c>
      <c r="I37">
        <v>4</v>
      </c>
      <c r="J37">
        <v>2</v>
      </c>
      <c r="K37">
        <v>2</v>
      </c>
      <c r="L37">
        <v>0</v>
      </c>
      <c r="O37">
        <v>6</v>
      </c>
      <c r="R37">
        <v>13</v>
      </c>
      <c r="S37" s="1"/>
    </row>
    <row r="38" spans="1:19" x14ac:dyDescent="0.3">
      <c r="A38" s="2" t="s">
        <v>517</v>
      </c>
      <c r="B38" t="s">
        <v>28</v>
      </c>
      <c r="C38" t="s">
        <v>22</v>
      </c>
      <c r="D38" t="s">
        <v>198</v>
      </c>
      <c r="E38" t="s">
        <v>199</v>
      </c>
      <c r="F38" t="s">
        <v>200</v>
      </c>
      <c r="G38" t="s">
        <v>201</v>
      </c>
      <c r="H38">
        <v>75</v>
      </c>
      <c r="I38">
        <v>28</v>
      </c>
      <c r="J38">
        <v>14</v>
      </c>
      <c r="K38">
        <v>0</v>
      </c>
      <c r="L38">
        <v>2</v>
      </c>
      <c r="O38">
        <v>31</v>
      </c>
      <c r="R38">
        <v>19</v>
      </c>
      <c r="S38" s="1"/>
    </row>
    <row r="39" spans="1:19" x14ac:dyDescent="0.3">
      <c r="A39" t="s">
        <v>219</v>
      </c>
      <c r="B39" t="s">
        <v>28</v>
      </c>
      <c r="C39" t="s">
        <v>22</v>
      </c>
      <c r="D39" t="s">
        <v>220</v>
      </c>
      <c r="E39" t="s">
        <v>221</v>
      </c>
      <c r="F39" t="s">
        <v>25</v>
      </c>
      <c r="G39" t="s">
        <v>520</v>
      </c>
      <c r="H39">
        <v>30</v>
      </c>
      <c r="I39">
        <v>0</v>
      </c>
      <c r="J39">
        <v>0</v>
      </c>
      <c r="K39">
        <v>0</v>
      </c>
      <c r="L39">
        <v>0</v>
      </c>
      <c r="O39">
        <v>9</v>
      </c>
      <c r="R39">
        <v>19</v>
      </c>
      <c r="S39" s="1"/>
    </row>
    <row r="40" spans="1:19" x14ac:dyDescent="0.3">
      <c r="A40" s="7" t="s">
        <v>230</v>
      </c>
      <c r="B40" t="s">
        <v>28</v>
      </c>
      <c r="C40" t="s">
        <v>22</v>
      </c>
      <c r="D40" t="s">
        <v>231</v>
      </c>
      <c r="E40" t="s">
        <v>232</v>
      </c>
      <c r="F40" t="s">
        <v>92</v>
      </c>
      <c r="G40" t="s">
        <v>233</v>
      </c>
      <c r="H40">
        <v>25</v>
      </c>
      <c r="I40">
        <v>10</v>
      </c>
      <c r="J40">
        <v>5</v>
      </c>
      <c r="K40">
        <v>0</v>
      </c>
      <c r="L40">
        <v>3</v>
      </c>
      <c r="O40">
        <v>6</v>
      </c>
      <c r="R40">
        <v>15</v>
      </c>
      <c r="S40" s="1"/>
    </row>
    <row r="41" spans="1:19" x14ac:dyDescent="0.3">
      <c r="A41" s="7" t="s">
        <v>243</v>
      </c>
      <c r="B41" t="s">
        <v>28</v>
      </c>
      <c r="C41" t="s">
        <v>22</v>
      </c>
      <c r="D41" t="s">
        <v>244</v>
      </c>
      <c r="E41" t="s">
        <v>245</v>
      </c>
      <c r="F41" t="s">
        <v>246</v>
      </c>
      <c r="G41" t="s">
        <v>247</v>
      </c>
      <c r="H41">
        <v>10</v>
      </c>
      <c r="I41">
        <v>4</v>
      </c>
      <c r="J41">
        <v>3</v>
      </c>
      <c r="K41">
        <v>2</v>
      </c>
      <c r="L41">
        <v>2</v>
      </c>
      <c r="O41">
        <v>5</v>
      </c>
      <c r="R41">
        <v>13</v>
      </c>
      <c r="S41" s="1"/>
    </row>
    <row r="42" spans="1:19" x14ac:dyDescent="0.3">
      <c r="A42" t="s">
        <v>275</v>
      </c>
      <c r="B42" t="s">
        <v>28</v>
      </c>
      <c r="C42" t="s">
        <v>22</v>
      </c>
      <c r="D42" t="s">
        <v>276</v>
      </c>
      <c r="E42" t="s">
        <v>277</v>
      </c>
      <c r="F42" t="s">
        <v>38</v>
      </c>
      <c r="G42" t="s">
        <v>353</v>
      </c>
      <c r="H42">
        <v>65</v>
      </c>
      <c r="I42">
        <v>0</v>
      </c>
      <c r="J42">
        <v>0</v>
      </c>
      <c r="K42">
        <v>0</v>
      </c>
      <c r="L42">
        <v>0</v>
      </c>
      <c r="O42">
        <v>21</v>
      </c>
      <c r="R42">
        <v>16</v>
      </c>
      <c r="S42" s="1"/>
    </row>
    <row r="43" spans="1:19" x14ac:dyDescent="0.3">
      <c r="A43" t="s">
        <v>431</v>
      </c>
      <c r="B43" t="s">
        <v>28</v>
      </c>
      <c r="C43" t="s">
        <v>29</v>
      </c>
      <c r="D43" t="s">
        <v>432</v>
      </c>
      <c r="E43" t="s">
        <v>433</v>
      </c>
      <c r="F43" t="s">
        <v>92</v>
      </c>
      <c r="G43" t="s">
        <v>434</v>
      </c>
      <c r="H43">
        <v>10</v>
      </c>
      <c r="I43">
        <v>4</v>
      </c>
      <c r="J43">
        <v>2</v>
      </c>
      <c r="K43">
        <v>4</v>
      </c>
      <c r="L43">
        <v>0</v>
      </c>
      <c r="O43">
        <v>14</v>
      </c>
      <c r="R43">
        <v>21</v>
      </c>
      <c r="S43" s="1"/>
    </row>
    <row r="44" spans="1:19" x14ac:dyDescent="0.3">
      <c r="A44" s="2" t="s">
        <v>40</v>
      </c>
      <c r="B44" t="s">
        <v>21</v>
      </c>
      <c r="C44" t="s">
        <v>22</v>
      </c>
      <c r="D44" s="10" t="s">
        <v>41</v>
      </c>
      <c r="E44" s="10" t="s">
        <v>42</v>
      </c>
      <c r="F44" t="s">
        <v>43</v>
      </c>
      <c r="G44" t="s">
        <v>44</v>
      </c>
      <c r="H44">
        <v>80</v>
      </c>
      <c r="I44">
        <v>0</v>
      </c>
      <c r="J44">
        <v>0</v>
      </c>
      <c r="K44">
        <v>0</v>
      </c>
      <c r="L44">
        <v>0</v>
      </c>
      <c r="S44" s="1"/>
    </row>
    <row r="45" spans="1:19" x14ac:dyDescent="0.3">
      <c r="A45" t="s">
        <v>47</v>
      </c>
      <c r="B45" t="s">
        <v>21</v>
      </c>
      <c r="C45" t="s">
        <v>22</v>
      </c>
      <c r="D45" t="s">
        <v>48</v>
      </c>
      <c r="E45" t="s">
        <v>49</v>
      </c>
      <c r="F45" t="s">
        <v>50</v>
      </c>
      <c r="G45" t="s">
        <v>51</v>
      </c>
      <c r="H45">
        <v>30</v>
      </c>
      <c r="I45">
        <v>7</v>
      </c>
      <c r="J45">
        <v>2</v>
      </c>
      <c r="K45">
        <v>5</v>
      </c>
      <c r="L45">
        <v>2</v>
      </c>
      <c r="O45">
        <v>18</v>
      </c>
      <c r="R45">
        <v>14</v>
      </c>
      <c r="S45" s="1"/>
    </row>
    <row r="46" spans="1:19" x14ac:dyDescent="0.3">
      <c r="A46" s="10" t="s">
        <v>62</v>
      </c>
      <c r="B46" t="s">
        <v>21</v>
      </c>
      <c r="C46" t="s">
        <v>22</v>
      </c>
      <c r="D46" s="18" t="s">
        <v>63</v>
      </c>
      <c r="E46" s="10" t="s">
        <v>64</v>
      </c>
      <c r="F46" t="s">
        <v>65</v>
      </c>
      <c r="G46" t="s">
        <v>514</v>
      </c>
      <c r="H46">
        <v>25</v>
      </c>
      <c r="I46">
        <v>8</v>
      </c>
      <c r="J46">
        <v>3</v>
      </c>
      <c r="K46">
        <v>0</v>
      </c>
      <c r="L46">
        <v>2</v>
      </c>
      <c r="N46" s="16">
        <v>6</v>
      </c>
    </row>
    <row r="47" spans="1:19" x14ac:dyDescent="0.3">
      <c r="A47" s="7" t="s">
        <v>95</v>
      </c>
      <c r="B47" t="s">
        <v>21</v>
      </c>
      <c r="C47" t="s">
        <v>22</v>
      </c>
      <c r="D47" s="18" t="s">
        <v>96</v>
      </c>
      <c r="E47" s="10" t="s">
        <v>97</v>
      </c>
      <c r="F47" t="s">
        <v>25</v>
      </c>
      <c r="G47" t="s">
        <v>98</v>
      </c>
      <c r="H47">
        <v>16</v>
      </c>
      <c r="I47">
        <v>4</v>
      </c>
      <c r="J47">
        <v>2</v>
      </c>
      <c r="K47">
        <v>3</v>
      </c>
      <c r="L47">
        <v>1</v>
      </c>
      <c r="N47" s="3">
        <v>11</v>
      </c>
      <c r="S47" s="1"/>
    </row>
    <row r="48" spans="1:19" x14ac:dyDescent="0.3">
      <c r="A48" s="23" t="s">
        <v>107</v>
      </c>
      <c r="B48" t="s">
        <v>21</v>
      </c>
      <c r="C48" t="s">
        <v>22</v>
      </c>
      <c r="D48" t="s">
        <v>108</v>
      </c>
      <c r="E48" t="s">
        <v>109</v>
      </c>
      <c r="F48" t="s">
        <v>110</v>
      </c>
      <c r="G48" t="s">
        <v>111</v>
      </c>
      <c r="H48">
        <v>150</v>
      </c>
      <c r="I48">
        <v>55</v>
      </c>
      <c r="J48">
        <v>23</v>
      </c>
      <c r="K48">
        <v>0</v>
      </c>
      <c r="L48">
        <v>0</v>
      </c>
      <c r="O48">
        <v>17</v>
      </c>
      <c r="R48">
        <v>11</v>
      </c>
      <c r="S48" s="1"/>
    </row>
    <row r="49" spans="1:19" x14ac:dyDescent="0.3">
      <c r="A49" t="s">
        <v>139</v>
      </c>
      <c r="B49" t="s">
        <v>21</v>
      </c>
      <c r="C49" t="s">
        <v>22</v>
      </c>
      <c r="D49" t="s">
        <v>140</v>
      </c>
      <c r="E49" t="s">
        <v>141</v>
      </c>
      <c r="F49" t="s">
        <v>142</v>
      </c>
      <c r="G49" t="s">
        <v>143</v>
      </c>
      <c r="H49">
        <v>30</v>
      </c>
      <c r="I49">
        <v>0</v>
      </c>
      <c r="J49">
        <v>0</v>
      </c>
      <c r="K49">
        <v>0</v>
      </c>
      <c r="L49">
        <v>2</v>
      </c>
      <c r="O49">
        <v>5</v>
      </c>
      <c r="R49">
        <v>13</v>
      </c>
      <c r="S49" s="1"/>
    </row>
    <row r="50" spans="1:19" x14ac:dyDescent="0.3">
      <c r="A50" t="s">
        <v>139</v>
      </c>
      <c r="B50" t="s">
        <v>21</v>
      </c>
      <c r="C50" t="s">
        <v>22</v>
      </c>
      <c r="D50" t="s">
        <v>140</v>
      </c>
      <c r="E50" t="s">
        <v>141</v>
      </c>
      <c r="F50" t="s">
        <v>142</v>
      </c>
      <c r="G50" t="s">
        <v>144</v>
      </c>
      <c r="H50">
        <v>55</v>
      </c>
      <c r="I50">
        <v>10</v>
      </c>
      <c r="J50">
        <v>2</v>
      </c>
      <c r="K50">
        <v>0</v>
      </c>
      <c r="L50">
        <v>2</v>
      </c>
      <c r="O50">
        <v>8</v>
      </c>
      <c r="R50">
        <v>16</v>
      </c>
      <c r="S50" s="1"/>
    </row>
    <row r="51" spans="1:19" x14ac:dyDescent="0.3">
      <c r="A51" t="s">
        <v>139</v>
      </c>
      <c r="B51" t="s">
        <v>21</v>
      </c>
      <c r="C51" t="s">
        <v>22</v>
      </c>
      <c r="D51" t="s">
        <v>140</v>
      </c>
      <c r="E51" t="s">
        <v>141</v>
      </c>
      <c r="F51" t="s">
        <v>142</v>
      </c>
      <c r="G51" t="s">
        <v>145</v>
      </c>
      <c r="H51">
        <v>4</v>
      </c>
      <c r="I51">
        <v>0</v>
      </c>
      <c r="J51">
        <v>0</v>
      </c>
      <c r="K51">
        <v>0</v>
      </c>
      <c r="L51">
        <v>2</v>
      </c>
      <c r="O51">
        <v>9</v>
      </c>
      <c r="R51">
        <v>10</v>
      </c>
      <c r="S51" s="1"/>
    </row>
    <row r="52" spans="1:19" x14ac:dyDescent="0.3">
      <c r="A52" t="s">
        <v>146</v>
      </c>
      <c r="B52" t="s">
        <v>21</v>
      </c>
      <c r="C52" t="s">
        <v>29</v>
      </c>
      <c r="D52" t="s">
        <v>147</v>
      </c>
      <c r="E52" t="s">
        <v>148</v>
      </c>
      <c r="F52" t="s">
        <v>25</v>
      </c>
      <c r="G52" t="s">
        <v>151</v>
      </c>
      <c r="H52">
        <v>50</v>
      </c>
      <c r="I52">
        <v>20</v>
      </c>
      <c r="J52">
        <v>10</v>
      </c>
      <c r="K52">
        <v>0</v>
      </c>
      <c r="L52">
        <v>0</v>
      </c>
      <c r="O52">
        <v>10.5</v>
      </c>
      <c r="P52">
        <v>6.5</v>
      </c>
      <c r="Q52">
        <v>11.5</v>
      </c>
      <c r="R52">
        <v>6.5</v>
      </c>
      <c r="S52" s="1"/>
    </row>
    <row r="53" spans="1:19" x14ac:dyDescent="0.3">
      <c r="A53" s="7" t="s">
        <v>188</v>
      </c>
      <c r="B53" t="s">
        <v>21</v>
      </c>
      <c r="C53" t="s">
        <v>22</v>
      </c>
      <c r="D53" t="s">
        <v>189</v>
      </c>
      <c r="E53" t="s">
        <v>190</v>
      </c>
      <c r="F53" t="s">
        <v>191</v>
      </c>
      <c r="G53" t="s">
        <v>192</v>
      </c>
      <c r="H53">
        <v>80</v>
      </c>
      <c r="I53">
        <v>0</v>
      </c>
      <c r="J53">
        <v>0</v>
      </c>
      <c r="K53">
        <v>0</v>
      </c>
      <c r="L53">
        <v>0</v>
      </c>
      <c r="O53">
        <v>11.5</v>
      </c>
      <c r="P53">
        <v>5.5</v>
      </c>
      <c r="Q53">
        <v>10.5</v>
      </c>
      <c r="R53">
        <v>6</v>
      </c>
      <c r="S53" s="1"/>
    </row>
    <row r="54" spans="1:19" x14ac:dyDescent="0.3">
      <c r="A54" t="s">
        <v>197</v>
      </c>
      <c r="B54" t="s">
        <v>21</v>
      </c>
      <c r="D54" t="s">
        <v>198</v>
      </c>
      <c r="E54" t="s">
        <v>199</v>
      </c>
      <c r="F54" t="s">
        <v>92</v>
      </c>
      <c r="G54" t="s">
        <v>203</v>
      </c>
      <c r="H54">
        <v>50</v>
      </c>
      <c r="I54">
        <v>0</v>
      </c>
      <c r="J54">
        <v>0</v>
      </c>
      <c r="K54">
        <v>0</v>
      </c>
      <c r="L54">
        <v>0</v>
      </c>
      <c r="O54">
        <v>3.5</v>
      </c>
      <c r="P54">
        <v>14</v>
      </c>
      <c r="Q54">
        <v>7.5</v>
      </c>
      <c r="R54">
        <v>10.5</v>
      </c>
      <c r="S54" s="1"/>
    </row>
    <row r="55" spans="1:19" x14ac:dyDescent="0.3">
      <c r="A55" t="s">
        <v>208</v>
      </c>
      <c r="B55" t="s">
        <v>21</v>
      </c>
      <c r="C55" t="s">
        <v>22</v>
      </c>
      <c r="D55" t="s">
        <v>209</v>
      </c>
      <c r="E55" t="s">
        <v>210</v>
      </c>
      <c r="F55" t="s">
        <v>211</v>
      </c>
      <c r="G55" t="s">
        <v>212</v>
      </c>
      <c r="I55">
        <v>10</v>
      </c>
      <c r="J55">
        <v>4</v>
      </c>
      <c r="K55">
        <v>0</v>
      </c>
      <c r="L55">
        <v>1</v>
      </c>
      <c r="O55">
        <v>10.5</v>
      </c>
      <c r="P55">
        <v>6.5</v>
      </c>
      <c r="Q55">
        <v>10</v>
      </c>
      <c r="R55">
        <v>6.5</v>
      </c>
    </row>
    <row r="56" spans="1:19" x14ac:dyDescent="0.3">
      <c r="A56" t="s">
        <v>208</v>
      </c>
      <c r="B56" t="s">
        <v>21</v>
      </c>
      <c r="C56" t="s">
        <v>22</v>
      </c>
      <c r="D56" t="s">
        <v>209</v>
      </c>
      <c r="E56" t="s">
        <v>213</v>
      </c>
      <c r="F56" t="s">
        <v>211</v>
      </c>
      <c r="G56" t="s">
        <v>214</v>
      </c>
      <c r="I56">
        <v>8</v>
      </c>
      <c r="J56">
        <v>6</v>
      </c>
      <c r="K56">
        <v>0</v>
      </c>
      <c r="L56">
        <v>1</v>
      </c>
      <c r="O56">
        <v>16</v>
      </c>
      <c r="P56">
        <v>11.5</v>
      </c>
      <c r="Q56">
        <v>16</v>
      </c>
      <c r="R56">
        <v>11</v>
      </c>
    </row>
    <row r="57" spans="1:19" x14ac:dyDescent="0.3">
      <c r="A57" t="s">
        <v>208</v>
      </c>
      <c r="B57" t="s">
        <v>21</v>
      </c>
      <c r="C57" t="s">
        <v>22</v>
      </c>
      <c r="D57" t="s">
        <v>209</v>
      </c>
      <c r="E57" t="s">
        <v>215</v>
      </c>
      <c r="F57" t="s">
        <v>211</v>
      </c>
      <c r="G57" t="s">
        <v>216</v>
      </c>
      <c r="I57">
        <v>7</v>
      </c>
      <c r="J57">
        <v>3</v>
      </c>
      <c r="K57">
        <v>0</v>
      </c>
      <c r="L57">
        <v>0</v>
      </c>
      <c r="O57">
        <v>17.5</v>
      </c>
      <c r="P57">
        <v>12</v>
      </c>
      <c r="Q57">
        <v>17.5</v>
      </c>
      <c r="R57">
        <v>12.5</v>
      </c>
    </row>
    <row r="58" spans="1:19" x14ac:dyDescent="0.3">
      <c r="A58" t="s">
        <v>208</v>
      </c>
      <c r="B58" t="s">
        <v>21</v>
      </c>
      <c r="C58" t="s">
        <v>22</v>
      </c>
      <c r="D58" t="s">
        <v>209</v>
      </c>
      <c r="E58" t="s">
        <v>213</v>
      </c>
      <c r="F58" t="s">
        <v>211</v>
      </c>
      <c r="G58" t="s">
        <v>217</v>
      </c>
      <c r="I58">
        <v>16</v>
      </c>
      <c r="J58">
        <v>4</v>
      </c>
      <c r="K58">
        <v>0</v>
      </c>
      <c r="L58">
        <v>1</v>
      </c>
      <c r="O58">
        <v>20.5</v>
      </c>
      <c r="P58">
        <v>13</v>
      </c>
      <c r="Q58">
        <v>20</v>
      </c>
      <c r="R58">
        <v>15</v>
      </c>
    </row>
    <row r="59" spans="1:19" x14ac:dyDescent="0.3">
      <c r="A59" t="s">
        <v>208</v>
      </c>
      <c r="B59" t="s">
        <v>21</v>
      </c>
      <c r="C59" t="s">
        <v>22</v>
      </c>
      <c r="D59" t="s">
        <v>209</v>
      </c>
      <c r="E59" t="s">
        <v>215</v>
      </c>
      <c r="F59" t="s">
        <v>211</v>
      </c>
      <c r="G59" t="s">
        <v>218</v>
      </c>
      <c r="I59">
        <v>16</v>
      </c>
      <c r="J59">
        <v>4</v>
      </c>
      <c r="K59">
        <v>0</v>
      </c>
      <c r="L59">
        <v>1</v>
      </c>
      <c r="O59">
        <v>23</v>
      </c>
      <c r="P59">
        <v>15</v>
      </c>
      <c r="Q59">
        <v>22.5</v>
      </c>
      <c r="R59">
        <v>16.5</v>
      </c>
    </row>
    <row r="60" spans="1:19" x14ac:dyDescent="0.3">
      <c r="A60" t="s">
        <v>234</v>
      </c>
      <c r="B60" t="s">
        <v>21</v>
      </c>
      <c r="C60" t="s">
        <v>22</v>
      </c>
      <c r="D60" t="s">
        <v>235</v>
      </c>
      <c r="E60" t="s">
        <v>236</v>
      </c>
      <c r="F60" t="s">
        <v>38</v>
      </c>
      <c r="G60" t="s">
        <v>237</v>
      </c>
      <c r="H60">
        <v>104</v>
      </c>
      <c r="I60">
        <v>0</v>
      </c>
      <c r="J60">
        <v>0</v>
      </c>
      <c r="K60">
        <v>0</v>
      </c>
      <c r="L60">
        <v>0</v>
      </c>
      <c r="O60">
        <v>19</v>
      </c>
      <c r="R60">
        <v>12</v>
      </c>
      <c r="S60" s="1"/>
    </row>
    <row r="61" spans="1:19" x14ac:dyDescent="0.3">
      <c r="A61" t="s">
        <v>238</v>
      </c>
      <c r="B61" t="s">
        <v>21</v>
      </c>
      <c r="C61" t="s">
        <v>22</v>
      </c>
      <c r="D61" t="s">
        <v>239</v>
      </c>
      <c r="E61" t="s">
        <v>240</v>
      </c>
      <c r="F61" t="s">
        <v>92</v>
      </c>
      <c r="G61" t="s">
        <v>241</v>
      </c>
      <c r="H61">
        <v>60</v>
      </c>
      <c r="I61">
        <v>0</v>
      </c>
      <c r="J61">
        <v>0</v>
      </c>
      <c r="K61">
        <v>0</v>
      </c>
      <c r="L61">
        <v>0</v>
      </c>
      <c r="O61">
        <v>7</v>
      </c>
      <c r="R61">
        <v>11</v>
      </c>
      <c r="S61" s="1"/>
    </row>
    <row r="62" spans="1:19" x14ac:dyDescent="0.3">
      <c r="A62" t="s">
        <v>238</v>
      </c>
      <c r="B62" t="s">
        <v>21</v>
      </c>
      <c r="C62" t="s">
        <v>22</v>
      </c>
      <c r="D62" t="s">
        <v>239</v>
      </c>
      <c r="E62" t="s">
        <v>240</v>
      </c>
      <c r="F62" t="s">
        <v>92</v>
      </c>
      <c r="G62" t="s">
        <v>242</v>
      </c>
      <c r="H62">
        <v>85</v>
      </c>
      <c r="I62">
        <v>0</v>
      </c>
      <c r="J62">
        <v>0</v>
      </c>
      <c r="K62">
        <v>0</v>
      </c>
      <c r="L62">
        <v>0</v>
      </c>
      <c r="O62">
        <v>32</v>
      </c>
      <c r="R62">
        <v>24</v>
      </c>
      <c r="S62" s="1"/>
    </row>
    <row r="63" spans="1:19" x14ac:dyDescent="0.3">
      <c r="A63" t="s">
        <v>248</v>
      </c>
      <c r="B63" t="s">
        <v>21</v>
      </c>
      <c r="C63" t="s">
        <v>22</v>
      </c>
      <c r="D63" t="s">
        <v>249</v>
      </c>
      <c r="E63" t="s">
        <v>250</v>
      </c>
      <c r="F63" t="s">
        <v>251</v>
      </c>
      <c r="G63" t="s">
        <v>253</v>
      </c>
      <c r="H63">
        <v>45</v>
      </c>
      <c r="I63">
        <v>16</v>
      </c>
      <c r="J63">
        <v>8</v>
      </c>
      <c r="K63">
        <v>10</v>
      </c>
      <c r="L63">
        <v>2</v>
      </c>
      <c r="N63" s="3">
        <v>9</v>
      </c>
      <c r="O63">
        <v>19</v>
      </c>
      <c r="R63">
        <v>7</v>
      </c>
      <c r="S63" s="1"/>
    </row>
    <row r="64" spans="1:19" x14ac:dyDescent="0.3">
      <c r="A64" t="s">
        <v>255</v>
      </c>
      <c r="B64" t="s">
        <v>21</v>
      </c>
      <c r="C64" t="s">
        <v>22</v>
      </c>
      <c r="D64" t="s">
        <v>256</v>
      </c>
      <c r="E64" t="s">
        <v>257</v>
      </c>
      <c r="F64" t="s">
        <v>92</v>
      </c>
      <c r="G64" t="s">
        <v>258</v>
      </c>
      <c r="H64">
        <v>50</v>
      </c>
      <c r="I64">
        <v>25</v>
      </c>
      <c r="J64">
        <v>10</v>
      </c>
      <c r="K64">
        <v>0</v>
      </c>
      <c r="L64">
        <v>2</v>
      </c>
      <c r="O64">
        <v>6</v>
      </c>
      <c r="R64">
        <v>13</v>
      </c>
      <c r="S64" s="1"/>
    </row>
    <row r="65" spans="1:19" x14ac:dyDescent="0.3">
      <c r="A65" s="2" t="s">
        <v>259</v>
      </c>
      <c r="B65" t="s">
        <v>21</v>
      </c>
      <c r="C65" t="s">
        <v>22</v>
      </c>
      <c r="D65" t="s">
        <v>260</v>
      </c>
      <c r="E65" t="s">
        <v>261</v>
      </c>
      <c r="F65" t="s">
        <v>211</v>
      </c>
      <c r="G65" t="s">
        <v>262</v>
      </c>
      <c r="H65">
        <v>55</v>
      </c>
      <c r="I65">
        <v>10</v>
      </c>
      <c r="J65">
        <v>4</v>
      </c>
      <c r="K65">
        <v>0</v>
      </c>
      <c r="L65">
        <v>0</v>
      </c>
      <c r="O65">
        <v>24</v>
      </c>
      <c r="R65">
        <v>12</v>
      </c>
      <c r="S65" s="1"/>
    </row>
    <row r="66" spans="1:19" x14ac:dyDescent="0.3">
      <c r="A66" s="16" t="s">
        <v>287</v>
      </c>
      <c r="B66" t="s">
        <v>21</v>
      </c>
      <c r="C66" t="s">
        <v>29</v>
      </c>
      <c r="D66" s="18" t="s">
        <v>288</v>
      </c>
      <c r="E66" s="10" t="s">
        <v>289</v>
      </c>
      <c r="F66" t="s">
        <v>25</v>
      </c>
      <c r="G66" t="s">
        <v>290</v>
      </c>
      <c r="H66">
        <v>20</v>
      </c>
      <c r="I66">
        <v>0</v>
      </c>
      <c r="J66">
        <v>0</v>
      </c>
      <c r="K66">
        <v>0</v>
      </c>
      <c r="L66">
        <v>0</v>
      </c>
    </row>
    <row r="67" spans="1:19" x14ac:dyDescent="0.3">
      <c r="A67" t="s">
        <v>312</v>
      </c>
      <c r="B67" t="s">
        <v>21</v>
      </c>
      <c r="C67" t="s">
        <v>22</v>
      </c>
      <c r="D67" t="s">
        <v>313</v>
      </c>
      <c r="E67" t="s">
        <v>314</v>
      </c>
      <c r="F67" t="s">
        <v>315</v>
      </c>
      <c r="G67" t="s">
        <v>316</v>
      </c>
      <c r="H67">
        <v>30</v>
      </c>
      <c r="I67">
        <v>10</v>
      </c>
      <c r="J67">
        <v>4</v>
      </c>
      <c r="K67">
        <v>6</v>
      </c>
      <c r="L67">
        <v>1</v>
      </c>
      <c r="O67" s="1">
        <v>4.5</v>
      </c>
      <c r="P67" s="1"/>
      <c r="Q67" s="1"/>
      <c r="R67" s="1">
        <v>13.75</v>
      </c>
      <c r="S67" s="1"/>
    </row>
    <row r="68" spans="1:19" x14ac:dyDescent="0.3">
      <c r="A68" t="s">
        <v>317</v>
      </c>
      <c r="B68" t="s">
        <v>21</v>
      </c>
      <c r="C68" t="s">
        <v>22</v>
      </c>
      <c r="D68" t="s">
        <v>318</v>
      </c>
      <c r="E68" t="s">
        <v>319</v>
      </c>
      <c r="F68" t="s">
        <v>320</v>
      </c>
      <c r="G68" t="s">
        <v>321</v>
      </c>
      <c r="H68">
        <v>28</v>
      </c>
      <c r="I68">
        <v>28</v>
      </c>
      <c r="J68">
        <v>10</v>
      </c>
      <c r="K68">
        <v>4</v>
      </c>
      <c r="L68">
        <v>3</v>
      </c>
      <c r="O68">
        <v>17</v>
      </c>
      <c r="R68">
        <v>9</v>
      </c>
      <c r="S68" s="1"/>
    </row>
    <row r="69" spans="1:19" x14ac:dyDescent="0.3">
      <c r="A69" t="s">
        <v>317</v>
      </c>
      <c r="B69" t="s">
        <v>21</v>
      </c>
      <c r="C69" t="s">
        <v>22</v>
      </c>
      <c r="D69" t="s">
        <v>318</v>
      </c>
      <c r="E69" t="s">
        <v>319</v>
      </c>
      <c r="F69" t="s">
        <v>320</v>
      </c>
      <c r="G69" t="s">
        <v>242</v>
      </c>
      <c r="H69">
        <v>40</v>
      </c>
      <c r="I69">
        <v>17</v>
      </c>
      <c r="J69">
        <v>3</v>
      </c>
      <c r="K69">
        <v>0</v>
      </c>
      <c r="L69">
        <v>0</v>
      </c>
      <c r="O69">
        <v>33</v>
      </c>
      <c r="R69">
        <v>25</v>
      </c>
      <c r="S69" s="1"/>
    </row>
    <row r="70" spans="1:19" x14ac:dyDescent="0.3">
      <c r="A70" s="7" t="s">
        <v>322</v>
      </c>
      <c r="B70" t="s">
        <v>21</v>
      </c>
      <c r="D70" s="10" t="s">
        <v>323</v>
      </c>
      <c r="E70" s="10" t="s">
        <v>324</v>
      </c>
      <c r="F70" t="s">
        <v>32</v>
      </c>
      <c r="G70" t="s">
        <v>518</v>
      </c>
      <c r="H70">
        <v>12</v>
      </c>
      <c r="I70">
        <v>4</v>
      </c>
      <c r="J70">
        <v>2</v>
      </c>
      <c r="K70">
        <v>0</v>
      </c>
      <c r="L70">
        <v>0</v>
      </c>
      <c r="O70">
        <v>18</v>
      </c>
      <c r="P70">
        <v>10</v>
      </c>
      <c r="Q70">
        <v>17.5</v>
      </c>
      <c r="R70">
        <v>10.5</v>
      </c>
    </row>
    <row r="71" spans="1:19" x14ac:dyDescent="0.3">
      <c r="A71" s="7" t="s">
        <v>322</v>
      </c>
      <c r="B71" t="s">
        <v>21</v>
      </c>
      <c r="D71" s="10" t="s">
        <v>323</v>
      </c>
      <c r="E71" s="10" t="s">
        <v>324</v>
      </c>
      <c r="F71" t="s">
        <v>32</v>
      </c>
      <c r="G71" t="s">
        <v>86</v>
      </c>
      <c r="H71">
        <v>31</v>
      </c>
      <c r="I71">
        <v>14</v>
      </c>
      <c r="J71">
        <v>2</v>
      </c>
      <c r="K71">
        <v>0</v>
      </c>
      <c r="L71">
        <v>0</v>
      </c>
      <c r="O71">
        <v>23</v>
      </c>
      <c r="P71">
        <v>16</v>
      </c>
      <c r="Q71">
        <v>22.5</v>
      </c>
      <c r="R71">
        <v>17.5</v>
      </c>
    </row>
    <row r="72" spans="1:19" x14ac:dyDescent="0.3">
      <c r="A72" s="7" t="s">
        <v>349</v>
      </c>
      <c r="B72" t="s">
        <v>21</v>
      </c>
      <c r="C72" t="s">
        <v>29</v>
      </c>
      <c r="D72" t="s">
        <v>350</v>
      </c>
      <c r="E72" t="s">
        <v>351</v>
      </c>
      <c r="F72" t="s">
        <v>92</v>
      </c>
      <c r="G72" t="s">
        <v>352</v>
      </c>
      <c r="H72">
        <v>50</v>
      </c>
      <c r="I72">
        <v>10</v>
      </c>
      <c r="J72">
        <v>4</v>
      </c>
      <c r="K72">
        <v>0</v>
      </c>
      <c r="L72">
        <v>0</v>
      </c>
      <c r="O72">
        <v>13</v>
      </c>
      <c r="R72">
        <v>8</v>
      </c>
      <c r="S72" s="1"/>
    </row>
    <row r="73" spans="1:19" x14ac:dyDescent="0.3">
      <c r="A73" s="7" t="s">
        <v>349</v>
      </c>
      <c r="B73" t="s">
        <v>21</v>
      </c>
      <c r="C73" t="s">
        <v>29</v>
      </c>
      <c r="D73" t="s">
        <v>350</v>
      </c>
      <c r="E73" t="s">
        <v>351</v>
      </c>
      <c r="F73" t="s">
        <v>92</v>
      </c>
      <c r="G73" t="s">
        <v>254</v>
      </c>
      <c r="H73">
        <v>30</v>
      </c>
      <c r="I73">
        <v>6</v>
      </c>
      <c r="J73">
        <v>0</v>
      </c>
      <c r="K73">
        <v>0</v>
      </c>
      <c r="L73">
        <v>0</v>
      </c>
      <c r="O73">
        <v>19</v>
      </c>
      <c r="R73">
        <v>14</v>
      </c>
      <c r="S73" s="1"/>
    </row>
    <row r="74" spans="1:19" x14ac:dyDescent="0.3">
      <c r="A74" s="7" t="s">
        <v>349</v>
      </c>
      <c r="B74" t="s">
        <v>21</v>
      </c>
      <c r="C74" t="s">
        <v>29</v>
      </c>
      <c r="D74" t="s">
        <v>350</v>
      </c>
      <c r="E74" t="s">
        <v>351</v>
      </c>
      <c r="F74" t="s">
        <v>92</v>
      </c>
      <c r="G74" t="s">
        <v>353</v>
      </c>
      <c r="H74">
        <v>30</v>
      </c>
      <c r="I74">
        <v>8</v>
      </c>
      <c r="J74">
        <v>3</v>
      </c>
      <c r="K74">
        <v>0</v>
      </c>
      <c r="L74">
        <v>0</v>
      </c>
      <c r="O74">
        <v>21</v>
      </c>
      <c r="R74">
        <v>16</v>
      </c>
      <c r="S74" s="1"/>
    </row>
    <row r="75" spans="1:19" x14ac:dyDescent="0.3">
      <c r="A75" s="7" t="s">
        <v>349</v>
      </c>
      <c r="B75" t="s">
        <v>21</v>
      </c>
      <c r="C75" t="s">
        <v>29</v>
      </c>
      <c r="D75" t="s">
        <v>350</v>
      </c>
      <c r="E75" t="s">
        <v>351</v>
      </c>
      <c r="F75" t="s">
        <v>92</v>
      </c>
      <c r="G75" t="s">
        <v>354</v>
      </c>
      <c r="H75">
        <v>32</v>
      </c>
      <c r="I75">
        <v>7</v>
      </c>
      <c r="J75">
        <v>3</v>
      </c>
      <c r="K75">
        <v>0</v>
      </c>
      <c r="L75">
        <v>0</v>
      </c>
      <c r="O75">
        <v>29</v>
      </c>
      <c r="R75">
        <v>20</v>
      </c>
      <c r="S75" s="1"/>
    </row>
    <row r="76" spans="1:19" x14ac:dyDescent="0.3">
      <c r="A76" s="7" t="s">
        <v>349</v>
      </c>
      <c r="B76" t="s">
        <v>21</v>
      </c>
      <c r="C76" t="s">
        <v>29</v>
      </c>
      <c r="D76" t="s">
        <v>350</v>
      </c>
      <c r="E76" t="s">
        <v>351</v>
      </c>
      <c r="F76" t="s">
        <v>92</v>
      </c>
      <c r="G76" t="s">
        <v>86</v>
      </c>
      <c r="H76">
        <v>26</v>
      </c>
      <c r="I76">
        <v>10</v>
      </c>
      <c r="J76">
        <v>2</v>
      </c>
      <c r="K76">
        <v>0</v>
      </c>
      <c r="L76">
        <v>0</v>
      </c>
      <c r="O76">
        <v>33</v>
      </c>
      <c r="R76">
        <v>24</v>
      </c>
      <c r="S76" s="1"/>
    </row>
    <row r="77" spans="1:19" x14ac:dyDescent="0.3">
      <c r="A77" t="s">
        <v>359</v>
      </c>
      <c r="B77" t="s">
        <v>21</v>
      </c>
      <c r="C77" t="s">
        <v>22</v>
      </c>
      <c r="D77" t="s">
        <v>360</v>
      </c>
      <c r="E77" t="s">
        <v>361</v>
      </c>
      <c r="F77" t="s">
        <v>142</v>
      </c>
      <c r="G77" t="s">
        <v>362</v>
      </c>
      <c r="H77">
        <v>22</v>
      </c>
      <c r="I77">
        <v>7</v>
      </c>
      <c r="J77">
        <v>3</v>
      </c>
      <c r="K77">
        <v>5</v>
      </c>
      <c r="L77">
        <v>0</v>
      </c>
      <c r="O77">
        <v>6.5</v>
      </c>
      <c r="P77">
        <v>6</v>
      </c>
      <c r="Q77">
        <v>3</v>
      </c>
      <c r="R77">
        <v>4</v>
      </c>
      <c r="S77" s="1"/>
    </row>
    <row r="78" spans="1:19" x14ac:dyDescent="0.3">
      <c r="A78" s="7" t="s">
        <v>371</v>
      </c>
      <c r="B78" t="s">
        <v>21</v>
      </c>
      <c r="C78" t="s">
        <v>22</v>
      </c>
      <c r="D78" t="s">
        <v>372</v>
      </c>
      <c r="E78" t="s">
        <v>373</v>
      </c>
      <c r="F78" t="s">
        <v>374</v>
      </c>
      <c r="G78" t="s">
        <v>192</v>
      </c>
      <c r="H78">
        <v>25</v>
      </c>
      <c r="I78">
        <v>8</v>
      </c>
      <c r="J78">
        <v>4</v>
      </c>
      <c r="K78">
        <v>0</v>
      </c>
      <c r="L78">
        <v>0</v>
      </c>
      <c r="N78" s="3">
        <v>7</v>
      </c>
      <c r="O78">
        <v>14</v>
      </c>
      <c r="R78">
        <v>8</v>
      </c>
      <c r="S78" s="1"/>
    </row>
    <row r="79" spans="1:19" x14ac:dyDescent="0.3">
      <c r="A79" t="s">
        <v>375</v>
      </c>
      <c r="B79" t="s">
        <v>21</v>
      </c>
      <c r="C79" t="s">
        <v>22</v>
      </c>
      <c r="D79" t="s">
        <v>376</v>
      </c>
      <c r="E79" t="s">
        <v>377</v>
      </c>
      <c r="F79" t="s">
        <v>137</v>
      </c>
      <c r="G79" t="s">
        <v>378</v>
      </c>
      <c r="H79">
        <v>120</v>
      </c>
      <c r="I79">
        <v>38</v>
      </c>
      <c r="J79">
        <v>16</v>
      </c>
      <c r="K79">
        <v>0</v>
      </c>
      <c r="L79">
        <v>4</v>
      </c>
      <c r="O79">
        <v>15</v>
      </c>
      <c r="R79">
        <v>10</v>
      </c>
      <c r="S79" s="1"/>
    </row>
    <row r="80" spans="1:19" x14ac:dyDescent="0.3">
      <c r="A80" t="s">
        <v>375</v>
      </c>
      <c r="B80" t="s">
        <v>21</v>
      </c>
      <c r="C80" t="s">
        <v>22</v>
      </c>
      <c r="D80" t="s">
        <v>376</v>
      </c>
      <c r="E80" t="s">
        <v>377</v>
      </c>
      <c r="F80" t="s">
        <v>137</v>
      </c>
      <c r="G80" t="s">
        <v>379</v>
      </c>
      <c r="H80">
        <v>8</v>
      </c>
      <c r="I80">
        <v>2</v>
      </c>
      <c r="J80">
        <v>2</v>
      </c>
      <c r="K80">
        <v>2</v>
      </c>
      <c r="L80">
        <v>2</v>
      </c>
      <c r="O80">
        <v>19</v>
      </c>
      <c r="R80">
        <v>20</v>
      </c>
      <c r="S80" s="1"/>
    </row>
    <row r="81" spans="1:19" x14ac:dyDescent="0.3">
      <c r="A81" s="2" t="s">
        <v>375</v>
      </c>
      <c r="B81" t="s">
        <v>21</v>
      </c>
      <c r="C81" t="s">
        <v>22</v>
      </c>
      <c r="D81" t="s">
        <v>376</v>
      </c>
      <c r="E81" t="s">
        <v>377</v>
      </c>
      <c r="F81" t="s">
        <v>137</v>
      </c>
      <c r="G81" t="s">
        <v>380</v>
      </c>
      <c r="H81">
        <v>8</v>
      </c>
      <c r="I81">
        <v>3</v>
      </c>
      <c r="J81">
        <v>1</v>
      </c>
      <c r="K81">
        <v>2</v>
      </c>
      <c r="L81">
        <v>0</v>
      </c>
      <c r="O81">
        <v>23</v>
      </c>
      <c r="R81">
        <v>13</v>
      </c>
      <c r="S81" s="1"/>
    </row>
    <row r="82" spans="1:19" x14ac:dyDescent="0.3">
      <c r="A82" s="2" t="s">
        <v>381</v>
      </c>
      <c r="B82" t="s">
        <v>21</v>
      </c>
      <c r="C82" t="s">
        <v>22</v>
      </c>
      <c r="D82" t="s">
        <v>382</v>
      </c>
      <c r="E82" t="s">
        <v>383</v>
      </c>
      <c r="F82" t="s">
        <v>142</v>
      </c>
      <c r="G82" t="s">
        <v>225</v>
      </c>
      <c r="H82">
        <v>33</v>
      </c>
      <c r="I82">
        <v>10</v>
      </c>
      <c r="J82">
        <v>5</v>
      </c>
      <c r="K82">
        <v>3</v>
      </c>
      <c r="L82">
        <v>1</v>
      </c>
      <c r="N82" s="3">
        <v>10</v>
      </c>
      <c r="O82">
        <v>20</v>
      </c>
      <c r="R82">
        <v>9</v>
      </c>
      <c r="S82" s="1"/>
    </row>
    <row r="83" spans="1:19" x14ac:dyDescent="0.3">
      <c r="A83" s="7" t="s">
        <v>388</v>
      </c>
      <c r="B83" t="s">
        <v>21</v>
      </c>
      <c r="C83" t="s">
        <v>29</v>
      </c>
      <c r="D83" t="s">
        <v>389</v>
      </c>
      <c r="E83" t="s">
        <v>390</v>
      </c>
      <c r="F83" t="s">
        <v>25</v>
      </c>
      <c r="G83" t="s">
        <v>226</v>
      </c>
      <c r="H83">
        <v>200</v>
      </c>
      <c r="I83">
        <v>73</v>
      </c>
      <c r="J83">
        <v>28</v>
      </c>
      <c r="K83">
        <v>0</v>
      </c>
      <c r="L83">
        <v>10</v>
      </c>
      <c r="O83">
        <v>9</v>
      </c>
      <c r="R83">
        <v>3</v>
      </c>
      <c r="S83" s="1"/>
    </row>
    <row r="84" spans="1:19" x14ac:dyDescent="0.3">
      <c r="A84" t="s">
        <v>401</v>
      </c>
      <c r="B84" t="s">
        <v>21</v>
      </c>
      <c r="C84" t="s">
        <v>22</v>
      </c>
      <c r="D84" t="s">
        <v>402</v>
      </c>
      <c r="E84" t="s">
        <v>403</v>
      </c>
      <c r="F84" t="s">
        <v>266</v>
      </c>
      <c r="G84" t="s">
        <v>268</v>
      </c>
      <c r="H84">
        <v>22</v>
      </c>
      <c r="I84">
        <v>8</v>
      </c>
      <c r="J84">
        <v>4</v>
      </c>
      <c r="K84">
        <v>5</v>
      </c>
      <c r="L84">
        <v>0</v>
      </c>
      <c r="O84">
        <v>10</v>
      </c>
      <c r="R84">
        <v>4</v>
      </c>
      <c r="S84" s="1"/>
    </row>
    <row r="85" spans="1:19" x14ac:dyDescent="0.3">
      <c r="A85" t="s">
        <v>405</v>
      </c>
      <c r="B85" t="s">
        <v>21</v>
      </c>
      <c r="D85" t="s">
        <v>406</v>
      </c>
      <c r="E85" t="s">
        <v>407</v>
      </c>
      <c r="F85" t="s">
        <v>408</v>
      </c>
      <c r="G85" t="s">
        <v>409</v>
      </c>
      <c r="H85">
        <v>30</v>
      </c>
      <c r="I85">
        <v>10</v>
      </c>
      <c r="J85">
        <v>5</v>
      </c>
      <c r="K85">
        <v>0</v>
      </c>
      <c r="L85">
        <v>0</v>
      </c>
      <c r="O85">
        <v>10</v>
      </c>
      <c r="R85">
        <v>0</v>
      </c>
      <c r="S85" s="1"/>
    </row>
    <row r="86" spans="1:19" x14ac:dyDescent="0.3">
      <c r="A86" t="s">
        <v>405</v>
      </c>
      <c r="B86" t="s">
        <v>21</v>
      </c>
      <c r="D86" t="s">
        <v>406</v>
      </c>
      <c r="E86" t="s">
        <v>407</v>
      </c>
      <c r="F86" t="s">
        <v>408</v>
      </c>
      <c r="G86" t="s">
        <v>410</v>
      </c>
      <c r="H86">
        <v>40</v>
      </c>
      <c r="I86">
        <v>10</v>
      </c>
      <c r="J86">
        <v>10</v>
      </c>
      <c r="K86">
        <v>0</v>
      </c>
      <c r="L86">
        <v>0</v>
      </c>
      <c r="O86">
        <v>13</v>
      </c>
      <c r="R86">
        <v>12</v>
      </c>
      <c r="S86" s="1"/>
    </row>
    <row r="87" spans="1:19" x14ac:dyDescent="0.3">
      <c r="A87" t="s">
        <v>405</v>
      </c>
      <c r="B87" t="s">
        <v>21</v>
      </c>
      <c r="D87" t="s">
        <v>406</v>
      </c>
      <c r="E87" t="s">
        <v>407</v>
      </c>
      <c r="F87" t="s">
        <v>408</v>
      </c>
      <c r="G87" t="s">
        <v>192</v>
      </c>
      <c r="H87">
        <v>200</v>
      </c>
      <c r="I87">
        <v>70</v>
      </c>
      <c r="J87">
        <v>30</v>
      </c>
      <c r="K87">
        <v>0</v>
      </c>
      <c r="L87">
        <v>0</v>
      </c>
      <c r="O87">
        <v>14</v>
      </c>
      <c r="R87">
        <v>8</v>
      </c>
      <c r="S87" s="1"/>
    </row>
    <row r="88" spans="1:19" x14ac:dyDescent="0.3">
      <c r="A88" t="s">
        <v>405</v>
      </c>
      <c r="B88" t="s">
        <v>21</v>
      </c>
      <c r="D88" t="s">
        <v>406</v>
      </c>
      <c r="E88" t="s">
        <v>407</v>
      </c>
      <c r="F88" t="s">
        <v>408</v>
      </c>
      <c r="G88" t="s">
        <v>411</v>
      </c>
      <c r="H88">
        <v>100</v>
      </c>
      <c r="I88">
        <v>30</v>
      </c>
      <c r="J88">
        <v>20</v>
      </c>
      <c r="K88">
        <v>0</v>
      </c>
      <c r="L88">
        <v>0</v>
      </c>
      <c r="O88">
        <v>14</v>
      </c>
      <c r="R88">
        <v>10</v>
      </c>
      <c r="S88" s="1"/>
    </row>
    <row r="89" spans="1:19" x14ac:dyDescent="0.3">
      <c r="A89" t="s">
        <v>405</v>
      </c>
      <c r="B89" t="s">
        <v>21</v>
      </c>
      <c r="D89" t="s">
        <v>406</v>
      </c>
      <c r="E89" t="s">
        <v>407</v>
      </c>
      <c r="F89" t="s">
        <v>408</v>
      </c>
      <c r="G89" t="s">
        <v>321</v>
      </c>
      <c r="H89">
        <v>40</v>
      </c>
      <c r="I89">
        <v>20</v>
      </c>
      <c r="J89">
        <v>20</v>
      </c>
      <c r="K89">
        <v>0</v>
      </c>
      <c r="L89">
        <v>0</v>
      </c>
      <c r="O89">
        <v>16</v>
      </c>
      <c r="R89">
        <v>8</v>
      </c>
      <c r="S89" s="1"/>
    </row>
    <row r="90" spans="1:19" x14ac:dyDescent="0.3">
      <c r="A90" t="s">
        <v>405</v>
      </c>
      <c r="B90" t="s">
        <v>21</v>
      </c>
      <c r="D90" t="s">
        <v>406</v>
      </c>
      <c r="E90" t="s">
        <v>407</v>
      </c>
      <c r="F90" t="s">
        <v>408</v>
      </c>
      <c r="G90" t="s">
        <v>412</v>
      </c>
      <c r="H90">
        <v>20</v>
      </c>
      <c r="I90">
        <v>8</v>
      </c>
      <c r="J90">
        <v>2</v>
      </c>
      <c r="K90">
        <v>0</v>
      </c>
      <c r="L90">
        <v>0</v>
      </c>
      <c r="O90">
        <v>17</v>
      </c>
      <c r="R90">
        <v>16</v>
      </c>
      <c r="S90" s="1"/>
    </row>
    <row r="91" spans="1:19" x14ac:dyDescent="0.3">
      <c r="A91" t="s">
        <v>417</v>
      </c>
      <c r="B91" t="s">
        <v>21</v>
      </c>
      <c r="C91" t="s">
        <v>22</v>
      </c>
      <c r="D91" t="s">
        <v>418</v>
      </c>
      <c r="E91" t="s">
        <v>419</v>
      </c>
      <c r="F91" t="s">
        <v>25</v>
      </c>
      <c r="G91" t="s">
        <v>420</v>
      </c>
      <c r="H91">
        <v>46</v>
      </c>
      <c r="I91">
        <v>14</v>
      </c>
      <c r="J91">
        <v>7</v>
      </c>
      <c r="K91">
        <v>10</v>
      </c>
      <c r="L91">
        <v>0</v>
      </c>
      <c r="O91">
        <v>20</v>
      </c>
      <c r="R91">
        <v>14</v>
      </c>
      <c r="S91" s="1"/>
    </row>
    <row r="92" spans="1:19" x14ac:dyDescent="0.3">
      <c r="A92" t="s">
        <v>429</v>
      </c>
      <c r="B92" t="s">
        <v>21</v>
      </c>
      <c r="D92" s="10"/>
      <c r="F92" t="s">
        <v>25</v>
      </c>
      <c r="G92" t="s">
        <v>430</v>
      </c>
      <c r="H92">
        <v>35</v>
      </c>
      <c r="I92">
        <v>12</v>
      </c>
      <c r="J92">
        <v>3</v>
      </c>
      <c r="K92">
        <v>5</v>
      </c>
      <c r="L92">
        <v>3</v>
      </c>
      <c r="N92" s="3">
        <v>10</v>
      </c>
    </row>
    <row r="93" spans="1:19" x14ac:dyDescent="0.3">
      <c r="A93" s="7" t="s">
        <v>439</v>
      </c>
      <c r="B93" t="s">
        <v>21</v>
      </c>
      <c r="D93" s="18" t="s">
        <v>440</v>
      </c>
      <c r="E93" s="10" t="s">
        <v>441</v>
      </c>
      <c r="F93" t="s">
        <v>279</v>
      </c>
      <c r="G93" t="s">
        <v>442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9" x14ac:dyDescent="0.3">
      <c r="A94" t="s">
        <v>454</v>
      </c>
      <c r="B94" t="s">
        <v>21</v>
      </c>
      <c r="C94" t="s">
        <v>22</v>
      </c>
      <c r="D94" t="s">
        <v>455</v>
      </c>
      <c r="E94" t="s">
        <v>456</v>
      </c>
      <c r="F94" t="s">
        <v>142</v>
      </c>
      <c r="G94" t="s">
        <v>268</v>
      </c>
      <c r="H94">
        <v>40</v>
      </c>
      <c r="I94">
        <v>14</v>
      </c>
      <c r="J94">
        <v>4</v>
      </c>
      <c r="K94">
        <v>0</v>
      </c>
      <c r="L94">
        <v>2</v>
      </c>
      <c r="N94" s="3">
        <v>9</v>
      </c>
      <c r="O94">
        <v>33</v>
      </c>
      <c r="R94">
        <v>25</v>
      </c>
      <c r="S94" s="1"/>
    </row>
    <row r="95" spans="1:19" x14ac:dyDescent="0.3">
      <c r="A95" s="2" t="s">
        <v>457</v>
      </c>
      <c r="B95" t="s">
        <v>21</v>
      </c>
      <c r="C95" t="s">
        <v>22</v>
      </c>
      <c r="D95" t="s">
        <v>458</v>
      </c>
      <c r="E95" t="s">
        <v>459</v>
      </c>
      <c r="F95" t="s">
        <v>25</v>
      </c>
      <c r="G95" t="s">
        <v>460</v>
      </c>
      <c r="H95">
        <v>15</v>
      </c>
      <c r="I95">
        <v>0</v>
      </c>
      <c r="J95">
        <v>0</v>
      </c>
      <c r="K95">
        <v>0</v>
      </c>
      <c r="L95">
        <v>0</v>
      </c>
      <c r="O95" s="1">
        <v>17.75</v>
      </c>
      <c r="P95" s="1"/>
      <c r="Q95" s="1"/>
      <c r="R95" s="1">
        <v>10.25</v>
      </c>
      <c r="S95" s="1"/>
    </row>
    <row r="96" spans="1:19" x14ac:dyDescent="0.3">
      <c r="A96" t="s">
        <v>457</v>
      </c>
      <c r="B96" t="s">
        <v>21</v>
      </c>
      <c r="C96" t="s">
        <v>22</v>
      </c>
      <c r="D96" t="s">
        <v>458</v>
      </c>
      <c r="E96" t="s">
        <v>459</v>
      </c>
      <c r="F96" t="s">
        <v>25</v>
      </c>
      <c r="G96" t="s">
        <v>461</v>
      </c>
      <c r="H96">
        <v>48</v>
      </c>
      <c r="I96">
        <v>0</v>
      </c>
      <c r="J96">
        <v>0</v>
      </c>
      <c r="K96">
        <v>0</v>
      </c>
      <c r="L96">
        <v>0</v>
      </c>
      <c r="O96" s="1">
        <v>19.75</v>
      </c>
      <c r="P96" s="1"/>
      <c r="Q96" s="1"/>
      <c r="R96" s="1">
        <v>15.75</v>
      </c>
      <c r="S96" s="1"/>
    </row>
    <row r="97" spans="1:19" x14ac:dyDescent="0.3">
      <c r="A97" t="s">
        <v>457</v>
      </c>
      <c r="B97" t="s">
        <v>21</v>
      </c>
      <c r="C97" t="s">
        <v>22</v>
      </c>
      <c r="D97" t="s">
        <v>458</v>
      </c>
      <c r="E97" t="s">
        <v>459</v>
      </c>
      <c r="F97" t="s">
        <v>25</v>
      </c>
      <c r="G97" t="s">
        <v>461</v>
      </c>
      <c r="H97">
        <v>48</v>
      </c>
      <c r="I97">
        <v>0</v>
      </c>
      <c r="J97">
        <v>0</v>
      </c>
      <c r="K97">
        <v>0</v>
      </c>
      <c r="L97">
        <v>0</v>
      </c>
      <c r="O97" s="1">
        <v>19.75</v>
      </c>
      <c r="P97" s="1"/>
      <c r="Q97" s="1"/>
      <c r="R97" s="1">
        <v>15.75</v>
      </c>
      <c r="S97" s="1"/>
    </row>
    <row r="98" spans="1:19" x14ac:dyDescent="0.3">
      <c r="A98" t="s">
        <v>457</v>
      </c>
      <c r="B98" t="s">
        <v>21</v>
      </c>
      <c r="C98" t="s">
        <v>22</v>
      </c>
      <c r="D98" t="s">
        <v>458</v>
      </c>
      <c r="E98" t="s">
        <v>459</v>
      </c>
      <c r="F98" t="s">
        <v>25</v>
      </c>
      <c r="G98" t="s">
        <v>462</v>
      </c>
      <c r="H98">
        <v>42</v>
      </c>
      <c r="I98">
        <v>0</v>
      </c>
      <c r="J98">
        <v>0</v>
      </c>
      <c r="K98">
        <v>0</v>
      </c>
      <c r="L98">
        <v>0</v>
      </c>
      <c r="O98" s="1">
        <v>21.75</v>
      </c>
      <c r="P98" s="1"/>
      <c r="Q98" s="1"/>
      <c r="R98" s="1">
        <v>14.75</v>
      </c>
      <c r="S98" s="1"/>
    </row>
    <row r="99" spans="1:19" x14ac:dyDescent="0.3">
      <c r="A99" s="7" t="s">
        <v>479</v>
      </c>
      <c r="B99" t="s">
        <v>21</v>
      </c>
      <c r="C99" t="s">
        <v>29</v>
      </c>
      <c r="D99" t="s">
        <v>480</v>
      </c>
      <c r="E99" t="s">
        <v>481</v>
      </c>
      <c r="F99" t="s">
        <v>482</v>
      </c>
      <c r="G99" t="s">
        <v>409</v>
      </c>
      <c r="H99">
        <v>44</v>
      </c>
      <c r="I99">
        <v>18</v>
      </c>
      <c r="J99">
        <v>6</v>
      </c>
      <c r="K99">
        <v>0</v>
      </c>
      <c r="L99">
        <v>2</v>
      </c>
      <c r="O99">
        <v>7.5</v>
      </c>
      <c r="P99">
        <v>2.5</v>
      </c>
      <c r="Q99">
        <v>6.5</v>
      </c>
      <c r="R99">
        <v>0</v>
      </c>
      <c r="S99" s="1"/>
    </row>
    <row r="100" spans="1:19" x14ac:dyDescent="0.3">
      <c r="A100" s="7" t="s">
        <v>479</v>
      </c>
      <c r="B100" t="s">
        <v>21</v>
      </c>
      <c r="C100" t="s">
        <v>29</v>
      </c>
      <c r="D100" t="s">
        <v>480</v>
      </c>
      <c r="E100" t="s">
        <v>481</v>
      </c>
      <c r="F100" t="s">
        <v>482</v>
      </c>
      <c r="G100" t="s">
        <v>353</v>
      </c>
      <c r="H100">
        <v>30</v>
      </c>
      <c r="I100">
        <v>10</v>
      </c>
      <c r="J100">
        <v>4</v>
      </c>
      <c r="K100">
        <v>0</v>
      </c>
      <c r="L100">
        <v>1</v>
      </c>
      <c r="O100">
        <v>17.5</v>
      </c>
      <c r="P100">
        <v>11</v>
      </c>
      <c r="Q100">
        <v>16.5</v>
      </c>
      <c r="R100">
        <v>11.5</v>
      </c>
      <c r="S100" s="1"/>
    </row>
    <row r="101" spans="1:19" x14ac:dyDescent="0.3">
      <c r="A101" s="7" t="s">
        <v>479</v>
      </c>
      <c r="B101" t="s">
        <v>21</v>
      </c>
      <c r="C101" t="s">
        <v>29</v>
      </c>
      <c r="D101" t="s">
        <v>480</v>
      </c>
      <c r="E101" t="s">
        <v>481</v>
      </c>
      <c r="F101" t="s">
        <v>482</v>
      </c>
      <c r="G101" t="s">
        <v>483</v>
      </c>
      <c r="H101">
        <v>26</v>
      </c>
      <c r="I101">
        <v>10</v>
      </c>
      <c r="J101">
        <v>2</v>
      </c>
      <c r="K101">
        <v>0</v>
      </c>
      <c r="L101">
        <v>1</v>
      </c>
      <c r="O101">
        <v>25.5</v>
      </c>
      <c r="P101">
        <v>17.5</v>
      </c>
      <c r="Q101">
        <v>25.5</v>
      </c>
      <c r="R101">
        <v>20</v>
      </c>
      <c r="S101" s="1"/>
    </row>
    <row r="102" spans="1:19" x14ac:dyDescent="0.3">
      <c r="A102" t="s">
        <v>497</v>
      </c>
      <c r="B102" t="s">
        <v>21</v>
      </c>
      <c r="C102" t="s">
        <v>29</v>
      </c>
      <c r="D102" t="s">
        <v>498</v>
      </c>
      <c r="E102" t="s">
        <v>221</v>
      </c>
      <c r="F102" t="s">
        <v>142</v>
      </c>
      <c r="G102" t="s">
        <v>499</v>
      </c>
      <c r="H102">
        <v>11</v>
      </c>
      <c r="I102">
        <v>4</v>
      </c>
      <c r="J102">
        <v>2</v>
      </c>
      <c r="K102">
        <v>3</v>
      </c>
      <c r="L102">
        <v>1</v>
      </c>
      <c r="O102">
        <v>6</v>
      </c>
      <c r="R102">
        <v>14</v>
      </c>
      <c r="S102" s="1"/>
    </row>
    <row r="103" spans="1:19" x14ac:dyDescent="0.3">
      <c r="A103" s="16" t="s">
        <v>52</v>
      </c>
      <c r="B103" t="s">
        <v>53</v>
      </c>
      <c r="C103" t="s">
        <v>29</v>
      </c>
      <c r="D103" s="10" t="s">
        <v>54</v>
      </c>
      <c r="F103" t="s">
        <v>56</v>
      </c>
      <c r="G103" t="s">
        <v>513</v>
      </c>
      <c r="H103">
        <v>17</v>
      </c>
      <c r="I103">
        <v>0</v>
      </c>
      <c r="J103">
        <v>0</v>
      </c>
      <c r="K103">
        <v>0</v>
      </c>
      <c r="L103">
        <v>0</v>
      </c>
    </row>
    <row r="104" spans="1:19" x14ac:dyDescent="0.3">
      <c r="A104" s="16" t="s">
        <v>70</v>
      </c>
      <c r="B104" t="s">
        <v>53</v>
      </c>
      <c r="C104" t="s">
        <v>29</v>
      </c>
      <c r="D104" t="s">
        <v>71</v>
      </c>
      <c r="E104" t="s">
        <v>72</v>
      </c>
      <c r="F104" t="s">
        <v>56</v>
      </c>
      <c r="G104" t="s">
        <v>73</v>
      </c>
      <c r="H104">
        <v>15</v>
      </c>
      <c r="I104">
        <v>0</v>
      </c>
      <c r="J104">
        <v>0</v>
      </c>
      <c r="K104">
        <v>0</v>
      </c>
      <c r="L104">
        <v>0</v>
      </c>
      <c r="O104">
        <v>20</v>
      </c>
      <c r="R104">
        <v>15</v>
      </c>
      <c r="S104" s="1"/>
    </row>
    <row r="105" spans="1:19" x14ac:dyDescent="0.3">
      <c r="A105" t="s">
        <v>99</v>
      </c>
      <c r="B105" t="s">
        <v>53</v>
      </c>
      <c r="C105" t="s">
        <v>22</v>
      </c>
      <c r="D105" t="s">
        <v>100</v>
      </c>
      <c r="E105" t="s">
        <v>101</v>
      </c>
      <c r="F105" t="s">
        <v>56</v>
      </c>
      <c r="G105" t="s">
        <v>102</v>
      </c>
      <c r="H105">
        <v>10</v>
      </c>
      <c r="I105">
        <v>0</v>
      </c>
      <c r="J105">
        <v>0</v>
      </c>
      <c r="K105">
        <v>0</v>
      </c>
      <c r="L105">
        <v>0</v>
      </c>
      <c r="O105">
        <v>6</v>
      </c>
      <c r="R105">
        <v>5</v>
      </c>
      <c r="S105" s="1"/>
    </row>
    <row r="106" spans="1:19" x14ac:dyDescent="0.3">
      <c r="A106" s="16" t="s">
        <v>157</v>
      </c>
      <c r="B106" t="s">
        <v>53</v>
      </c>
      <c r="C106" t="s">
        <v>22</v>
      </c>
      <c r="D106" t="s">
        <v>153</v>
      </c>
      <c r="E106" t="s">
        <v>154</v>
      </c>
      <c r="F106" t="s">
        <v>56</v>
      </c>
      <c r="G106" t="s">
        <v>156</v>
      </c>
      <c r="H106">
        <v>30</v>
      </c>
      <c r="I106">
        <v>0</v>
      </c>
      <c r="J106">
        <v>0</v>
      </c>
      <c r="K106">
        <v>0</v>
      </c>
      <c r="L106">
        <v>0</v>
      </c>
    </row>
    <row r="107" spans="1:19" x14ac:dyDescent="0.3">
      <c r="A107" t="s">
        <v>164</v>
      </c>
      <c r="B107" t="s">
        <v>53</v>
      </c>
      <c r="C107" t="s">
        <v>22</v>
      </c>
      <c r="D107" t="s">
        <v>165</v>
      </c>
      <c r="E107" t="s">
        <v>166</v>
      </c>
      <c r="F107" t="s">
        <v>32</v>
      </c>
      <c r="G107" t="s">
        <v>168</v>
      </c>
      <c r="H107">
        <v>7</v>
      </c>
      <c r="I107">
        <v>0</v>
      </c>
      <c r="J107">
        <v>0</v>
      </c>
      <c r="K107">
        <v>0</v>
      </c>
      <c r="L107">
        <v>0</v>
      </c>
      <c r="O107">
        <v>7.5</v>
      </c>
      <c r="P107">
        <v>5</v>
      </c>
      <c r="Q107">
        <v>9.5</v>
      </c>
      <c r="R107">
        <v>3.5</v>
      </c>
    </row>
    <row r="108" spans="1:19" x14ac:dyDescent="0.3">
      <c r="A108" t="s">
        <v>164</v>
      </c>
      <c r="B108" t="s">
        <v>53</v>
      </c>
      <c r="C108" t="s">
        <v>22</v>
      </c>
      <c r="D108" t="s">
        <v>165</v>
      </c>
      <c r="E108" t="s">
        <v>166</v>
      </c>
      <c r="F108" t="s">
        <v>32</v>
      </c>
      <c r="G108" t="s">
        <v>169</v>
      </c>
      <c r="H108">
        <v>20</v>
      </c>
      <c r="I108">
        <v>0</v>
      </c>
      <c r="J108">
        <v>0</v>
      </c>
      <c r="K108">
        <v>0</v>
      </c>
      <c r="L108">
        <v>0</v>
      </c>
      <c r="O108">
        <v>9.5</v>
      </c>
      <c r="P108">
        <v>3</v>
      </c>
      <c r="Q108">
        <v>9.5</v>
      </c>
      <c r="R108">
        <v>3.5</v>
      </c>
    </row>
    <row r="109" spans="1:19" x14ac:dyDescent="0.3">
      <c r="A109" s="16" t="s">
        <v>164</v>
      </c>
      <c r="B109" t="s">
        <v>53</v>
      </c>
      <c r="C109" t="s">
        <v>22</v>
      </c>
      <c r="D109" t="s">
        <v>165</v>
      </c>
      <c r="E109" t="s">
        <v>166</v>
      </c>
      <c r="F109" t="s">
        <v>32</v>
      </c>
      <c r="G109" t="s">
        <v>167</v>
      </c>
      <c r="H109">
        <v>32</v>
      </c>
      <c r="I109">
        <v>0</v>
      </c>
      <c r="J109">
        <v>0</v>
      </c>
      <c r="K109">
        <v>0</v>
      </c>
      <c r="L109">
        <v>0</v>
      </c>
      <c r="O109">
        <v>10</v>
      </c>
      <c r="P109">
        <v>3.5</v>
      </c>
      <c r="Q109">
        <v>10</v>
      </c>
      <c r="R109">
        <v>4.5</v>
      </c>
    </row>
    <row r="110" spans="1:19" x14ac:dyDescent="0.3">
      <c r="A110" t="s">
        <v>170</v>
      </c>
      <c r="B110" t="s">
        <v>53</v>
      </c>
      <c r="D110" t="s">
        <v>171</v>
      </c>
      <c r="E110" t="s">
        <v>172</v>
      </c>
      <c r="F110" t="s">
        <v>56</v>
      </c>
      <c r="G110" t="s">
        <v>174</v>
      </c>
      <c r="H110">
        <v>10</v>
      </c>
      <c r="I110">
        <v>0</v>
      </c>
      <c r="J110">
        <v>0</v>
      </c>
      <c r="K110">
        <v>0</v>
      </c>
      <c r="L110">
        <v>0</v>
      </c>
      <c r="O110">
        <v>6</v>
      </c>
      <c r="P110">
        <v>8</v>
      </c>
      <c r="Q110">
        <v>1.5</v>
      </c>
      <c r="R110">
        <v>5.5</v>
      </c>
    </row>
    <row r="111" spans="1:19" x14ac:dyDescent="0.3">
      <c r="A111" s="16" t="s">
        <v>170</v>
      </c>
      <c r="B111" t="s">
        <v>53</v>
      </c>
      <c r="D111" t="s">
        <v>171</v>
      </c>
      <c r="E111" t="s">
        <v>172</v>
      </c>
      <c r="F111" t="s">
        <v>56</v>
      </c>
      <c r="G111" t="s">
        <v>173</v>
      </c>
      <c r="H111">
        <v>80</v>
      </c>
      <c r="I111">
        <v>0</v>
      </c>
      <c r="J111">
        <v>0</v>
      </c>
      <c r="K111">
        <v>0</v>
      </c>
      <c r="L111">
        <v>0</v>
      </c>
      <c r="O111">
        <v>6.5</v>
      </c>
      <c r="P111">
        <v>5</v>
      </c>
      <c r="Q111">
        <v>9</v>
      </c>
      <c r="R111">
        <v>3.5</v>
      </c>
    </row>
    <row r="112" spans="1:19" x14ac:dyDescent="0.3">
      <c r="A112" s="16" t="s">
        <v>271</v>
      </c>
      <c r="B112" t="s">
        <v>53</v>
      </c>
      <c r="C112" t="s">
        <v>29</v>
      </c>
      <c r="D112" s="18" t="s">
        <v>272</v>
      </c>
      <c r="E112" s="10" t="s">
        <v>273</v>
      </c>
      <c r="F112" t="s">
        <v>56</v>
      </c>
      <c r="G112" t="s">
        <v>274</v>
      </c>
      <c r="H112">
        <v>24</v>
      </c>
      <c r="I112">
        <v>0</v>
      </c>
      <c r="J112">
        <v>0</v>
      </c>
      <c r="K112">
        <v>0</v>
      </c>
      <c r="L112">
        <v>0</v>
      </c>
    </row>
    <row r="113" spans="1:19" x14ac:dyDescent="0.3">
      <c r="A113" s="16" t="s">
        <v>330</v>
      </c>
      <c r="B113" t="s">
        <v>53</v>
      </c>
      <c r="C113" t="s">
        <v>29</v>
      </c>
      <c r="D113" t="s">
        <v>331</v>
      </c>
      <c r="E113" t="s">
        <v>332</v>
      </c>
      <c r="F113" t="s">
        <v>56</v>
      </c>
      <c r="G113" t="s">
        <v>519</v>
      </c>
      <c r="H113">
        <v>15</v>
      </c>
      <c r="I113">
        <v>0</v>
      </c>
      <c r="J113">
        <v>0</v>
      </c>
      <c r="K113">
        <v>0</v>
      </c>
      <c r="L113">
        <v>0</v>
      </c>
      <c r="O113">
        <v>5.5</v>
      </c>
      <c r="P113">
        <v>9</v>
      </c>
      <c r="Q113">
        <v>1</v>
      </c>
      <c r="R113">
        <v>6</v>
      </c>
    </row>
    <row r="114" spans="1:19" x14ac:dyDescent="0.3">
      <c r="A114" s="16" t="s">
        <v>330</v>
      </c>
      <c r="B114" t="s">
        <v>53</v>
      </c>
      <c r="C114" t="s">
        <v>29</v>
      </c>
      <c r="D114" t="s">
        <v>331</v>
      </c>
      <c r="E114" t="s">
        <v>332</v>
      </c>
      <c r="F114" t="s">
        <v>56</v>
      </c>
      <c r="G114" t="s">
        <v>333</v>
      </c>
      <c r="H114">
        <v>25</v>
      </c>
      <c r="I114">
        <v>0</v>
      </c>
      <c r="J114">
        <v>0</v>
      </c>
      <c r="K114">
        <v>0</v>
      </c>
      <c r="L114">
        <v>0</v>
      </c>
      <c r="O114">
        <v>6.5</v>
      </c>
      <c r="P114">
        <v>6.5</v>
      </c>
      <c r="Q114">
        <v>2</v>
      </c>
      <c r="R114">
        <v>4</v>
      </c>
      <c r="S114" s="1"/>
    </row>
    <row r="115" spans="1:19" x14ac:dyDescent="0.3">
      <c r="A115" s="16" t="s">
        <v>330</v>
      </c>
      <c r="B115" t="s">
        <v>53</v>
      </c>
      <c r="C115" t="s">
        <v>29</v>
      </c>
      <c r="D115" t="s">
        <v>331</v>
      </c>
      <c r="E115" t="s">
        <v>332</v>
      </c>
      <c r="F115" t="s">
        <v>56</v>
      </c>
      <c r="G115" t="s">
        <v>26</v>
      </c>
      <c r="H115">
        <v>25</v>
      </c>
      <c r="I115">
        <v>0</v>
      </c>
      <c r="J115">
        <v>0</v>
      </c>
      <c r="K115">
        <v>0</v>
      </c>
      <c r="L115">
        <v>0</v>
      </c>
      <c r="O115">
        <v>7.5</v>
      </c>
      <c r="P115">
        <v>2</v>
      </c>
      <c r="Q115">
        <v>9.5</v>
      </c>
      <c r="R115">
        <v>3</v>
      </c>
      <c r="S115" s="1"/>
    </row>
    <row r="116" spans="1:19" x14ac:dyDescent="0.3">
      <c r="A116" s="16" t="s">
        <v>330</v>
      </c>
      <c r="B116" t="s">
        <v>53</v>
      </c>
      <c r="C116" t="s">
        <v>29</v>
      </c>
      <c r="D116" t="s">
        <v>331</v>
      </c>
      <c r="E116" t="s">
        <v>332</v>
      </c>
      <c r="F116" t="s">
        <v>56</v>
      </c>
      <c r="G116" t="s">
        <v>268</v>
      </c>
      <c r="H116">
        <v>25</v>
      </c>
      <c r="I116">
        <v>0</v>
      </c>
      <c r="J116">
        <v>0</v>
      </c>
      <c r="K116">
        <v>0</v>
      </c>
      <c r="L116">
        <v>0</v>
      </c>
      <c r="O116">
        <v>7.5</v>
      </c>
      <c r="P116">
        <v>4</v>
      </c>
      <c r="Q116">
        <v>9.5</v>
      </c>
      <c r="R116">
        <v>3</v>
      </c>
      <c r="S116" s="1"/>
    </row>
    <row r="117" spans="1:19" x14ac:dyDescent="0.3">
      <c r="A117" s="16" t="s">
        <v>330</v>
      </c>
      <c r="B117" t="s">
        <v>53</v>
      </c>
      <c r="C117" t="s">
        <v>29</v>
      </c>
      <c r="D117" t="s">
        <v>331</v>
      </c>
      <c r="E117" t="s">
        <v>332</v>
      </c>
      <c r="F117" t="s">
        <v>56</v>
      </c>
      <c r="G117" t="s">
        <v>336</v>
      </c>
      <c r="H117">
        <v>25</v>
      </c>
      <c r="I117">
        <v>0</v>
      </c>
      <c r="J117">
        <v>0</v>
      </c>
      <c r="K117">
        <v>0</v>
      </c>
      <c r="L117">
        <v>0</v>
      </c>
      <c r="O117">
        <v>7.5</v>
      </c>
      <c r="P117">
        <v>4</v>
      </c>
      <c r="Q117">
        <v>9.5</v>
      </c>
      <c r="R117">
        <v>3</v>
      </c>
      <c r="S117" s="1"/>
    </row>
    <row r="118" spans="1:19" x14ac:dyDescent="0.3">
      <c r="A118" s="16" t="s">
        <v>342</v>
      </c>
      <c r="B118" t="s">
        <v>53</v>
      </c>
      <c r="C118" t="s">
        <v>29</v>
      </c>
      <c r="D118" s="18" t="s">
        <v>343</v>
      </c>
      <c r="E118" s="10" t="s">
        <v>344</v>
      </c>
      <c r="F118" t="s">
        <v>56</v>
      </c>
      <c r="G118" t="s">
        <v>321</v>
      </c>
      <c r="H118">
        <v>150</v>
      </c>
      <c r="I118">
        <v>0</v>
      </c>
      <c r="J118">
        <v>0</v>
      </c>
      <c r="K118">
        <v>0</v>
      </c>
      <c r="L118">
        <v>0</v>
      </c>
    </row>
    <row r="119" spans="1:19" x14ac:dyDescent="0.3">
      <c r="A119" s="16" t="s">
        <v>345</v>
      </c>
      <c r="B119" t="s">
        <v>53</v>
      </c>
      <c r="C119" t="s">
        <v>22</v>
      </c>
      <c r="D119" t="s">
        <v>346</v>
      </c>
      <c r="E119" t="s">
        <v>347</v>
      </c>
      <c r="F119" t="s">
        <v>56</v>
      </c>
      <c r="G119" t="s">
        <v>348</v>
      </c>
      <c r="H119">
        <v>10</v>
      </c>
      <c r="I119">
        <v>2</v>
      </c>
      <c r="J119">
        <v>0</v>
      </c>
      <c r="K119">
        <v>0</v>
      </c>
      <c r="L119">
        <v>0</v>
      </c>
      <c r="O119">
        <v>7</v>
      </c>
      <c r="P119">
        <v>3.5</v>
      </c>
      <c r="Q119">
        <v>6.5</v>
      </c>
      <c r="R119">
        <v>1</v>
      </c>
      <c r="S119" s="1"/>
    </row>
    <row r="120" spans="1:19" x14ac:dyDescent="0.3">
      <c r="A120" t="s">
        <v>355</v>
      </c>
      <c r="B120" t="s">
        <v>53</v>
      </c>
      <c r="C120" t="s">
        <v>29</v>
      </c>
      <c r="D120" t="s">
        <v>356</v>
      </c>
      <c r="E120" t="s">
        <v>357</v>
      </c>
      <c r="F120" t="s">
        <v>56</v>
      </c>
      <c r="G120" t="s">
        <v>358</v>
      </c>
      <c r="H120">
        <v>6</v>
      </c>
      <c r="I120">
        <v>0</v>
      </c>
      <c r="J120">
        <v>0</v>
      </c>
      <c r="K120">
        <v>0</v>
      </c>
      <c r="L120">
        <v>0</v>
      </c>
      <c r="O120">
        <v>6</v>
      </c>
      <c r="R120">
        <v>16</v>
      </c>
      <c r="S120" s="1"/>
    </row>
    <row r="121" spans="1:19" x14ac:dyDescent="0.3">
      <c r="A121" t="s">
        <v>367</v>
      </c>
      <c r="B121" t="s">
        <v>53</v>
      </c>
      <c r="C121" t="s">
        <v>29</v>
      </c>
      <c r="D121" t="s">
        <v>368</v>
      </c>
      <c r="E121" t="s">
        <v>369</v>
      </c>
      <c r="F121" t="s">
        <v>56</v>
      </c>
      <c r="G121" t="s">
        <v>370</v>
      </c>
      <c r="H121">
        <v>10</v>
      </c>
      <c r="I121">
        <v>0</v>
      </c>
      <c r="J121">
        <v>0</v>
      </c>
      <c r="K121">
        <v>0</v>
      </c>
      <c r="L121">
        <v>0</v>
      </c>
      <c r="O121">
        <v>11</v>
      </c>
      <c r="R121">
        <v>0</v>
      </c>
      <c r="S121" s="1"/>
    </row>
    <row r="122" spans="1:19" x14ac:dyDescent="0.3">
      <c r="A122" s="16" t="s">
        <v>384</v>
      </c>
      <c r="B122" t="s">
        <v>53</v>
      </c>
      <c r="C122" t="s">
        <v>22</v>
      </c>
      <c r="D122" t="s">
        <v>385</v>
      </c>
      <c r="E122" t="s">
        <v>386</v>
      </c>
      <c r="F122" t="s">
        <v>56</v>
      </c>
      <c r="G122" t="s">
        <v>387</v>
      </c>
      <c r="H122">
        <v>24</v>
      </c>
      <c r="I122">
        <v>0</v>
      </c>
      <c r="J122">
        <v>0</v>
      </c>
      <c r="K122">
        <v>0</v>
      </c>
      <c r="L122">
        <v>0</v>
      </c>
      <c r="O122">
        <v>6</v>
      </c>
      <c r="R122">
        <v>13</v>
      </c>
      <c r="S122" s="1"/>
    </row>
    <row r="123" spans="1:19" x14ac:dyDescent="0.3">
      <c r="A123" s="16" t="s">
        <v>467</v>
      </c>
      <c r="B123" t="s">
        <v>53</v>
      </c>
      <c r="C123" t="s">
        <v>29</v>
      </c>
      <c r="D123" t="s">
        <v>468</v>
      </c>
      <c r="E123" t="s">
        <v>469</v>
      </c>
      <c r="F123" t="s">
        <v>56</v>
      </c>
      <c r="G123" t="s">
        <v>470</v>
      </c>
      <c r="H123">
        <v>16</v>
      </c>
      <c r="I123">
        <v>0</v>
      </c>
      <c r="J123">
        <v>0</v>
      </c>
      <c r="K123">
        <v>0</v>
      </c>
      <c r="L123">
        <v>0</v>
      </c>
      <c r="O123">
        <v>10</v>
      </c>
      <c r="P123">
        <v>3</v>
      </c>
      <c r="Q123">
        <v>9.5</v>
      </c>
      <c r="R123">
        <v>4</v>
      </c>
      <c r="S123" s="1"/>
    </row>
    <row r="124" spans="1:19" x14ac:dyDescent="0.3">
      <c r="A124" t="s">
        <v>484</v>
      </c>
      <c r="B124" t="s">
        <v>53</v>
      </c>
      <c r="D124" t="s">
        <v>485</v>
      </c>
      <c r="E124" t="s">
        <v>486</v>
      </c>
      <c r="F124" t="s">
        <v>56</v>
      </c>
      <c r="G124" t="s">
        <v>487</v>
      </c>
      <c r="H124">
        <v>20</v>
      </c>
      <c r="I124">
        <v>0</v>
      </c>
      <c r="J124">
        <v>0</v>
      </c>
      <c r="K124">
        <v>0</v>
      </c>
      <c r="L124">
        <v>0</v>
      </c>
      <c r="O124">
        <v>14</v>
      </c>
      <c r="R124">
        <v>3</v>
      </c>
      <c r="S124" s="1"/>
    </row>
    <row r="125" spans="1:19" x14ac:dyDescent="0.3">
      <c r="A125" s="16" t="s">
        <v>500</v>
      </c>
      <c r="B125" t="s">
        <v>53</v>
      </c>
      <c r="C125" t="s">
        <v>29</v>
      </c>
      <c r="D125" s="10" t="s">
        <v>501</v>
      </c>
      <c r="E125" s="10" t="s">
        <v>502</v>
      </c>
      <c r="F125" t="s">
        <v>56</v>
      </c>
      <c r="G125" t="s">
        <v>503</v>
      </c>
      <c r="H125">
        <v>21</v>
      </c>
      <c r="I125">
        <v>0</v>
      </c>
      <c r="J125">
        <v>0</v>
      </c>
      <c r="K125">
        <v>0</v>
      </c>
      <c r="L125">
        <v>0</v>
      </c>
    </row>
    <row r="126" spans="1:19" x14ac:dyDescent="0.3">
      <c r="A126" s="7" t="s">
        <v>67</v>
      </c>
      <c r="D126" s="10"/>
    </row>
    <row r="127" spans="1:19" x14ac:dyDescent="0.3">
      <c r="A127" s="7" t="s">
        <v>117</v>
      </c>
      <c r="D127" s="10"/>
    </row>
    <row r="128" spans="1:19" x14ac:dyDescent="0.3">
      <c r="A128" s="7" t="s">
        <v>522</v>
      </c>
      <c r="D128" s="10"/>
    </row>
    <row r="129" spans="1:14" x14ac:dyDescent="0.3">
      <c r="A129" t="s">
        <v>523</v>
      </c>
      <c r="D129" s="10"/>
      <c r="E129" t="s">
        <v>265</v>
      </c>
      <c r="F129" t="s">
        <v>25</v>
      </c>
      <c r="G129" t="s">
        <v>270</v>
      </c>
      <c r="H129">
        <v>25</v>
      </c>
      <c r="I129">
        <v>10</v>
      </c>
      <c r="J129">
        <v>2</v>
      </c>
      <c r="K129">
        <v>0</v>
      </c>
      <c r="L129">
        <v>0</v>
      </c>
      <c r="N129" s="3">
        <v>9</v>
      </c>
    </row>
    <row r="130" spans="1:14" x14ac:dyDescent="0.3">
      <c r="A130" s="7" t="s">
        <v>337</v>
      </c>
      <c r="D130" s="18"/>
      <c r="E130" s="10"/>
    </row>
    <row r="131" spans="1:14" x14ac:dyDescent="0.3">
      <c r="A131" s="7" t="s">
        <v>512</v>
      </c>
      <c r="D131" s="10"/>
    </row>
    <row r="132" spans="1:14" x14ac:dyDescent="0.3">
      <c r="A132" s="7" t="s">
        <v>524</v>
      </c>
      <c r="D132" s="18"/>
      <c r="E132" s="10"/>
    </row>
    <row r="133" spans="1:14" x14ac:dyDescent="0.3">
      <c r="D133" s="18"/>
      <c r="E133" s="10"/>
    </row>
    <row r="135" spans="1:14" x14ac:dyDescent="0.3">
      <c r="A135" t="s">
        <v>525</v>
      </c>
    </row>
    <row r="136" spans="1:14" x14ac:dyDescent="0.3">
      <c r="A136" t="s">
        <v>526</v>
      </c>
    </row>
    <row r="137" spans="1:14" x14ac:dyDescent="0.3">
      <c r="A137" t="s">
        <v>527</v>
      </c>
    </row>
    <row r="138" spans="1:14" x14ac:dyDescent="0.3">
      <c r="A138" t="s">
        <v>528</v>
      </c>
    </row>
    <row r="139" spans="1:14" x14ac:dyDescent="0.3">
      <c r="A139" t="s">
        <v>529</v>
      </c>
    </row>
    <row r="141" spans="1:14" x14ac:dyDescent="0.3">
      <c r="B141" t="s">
        <v>530</v>
      </c>
    </row>
    <row r="142" spans="1:14" x14ac:dyDescent="0.3">
      <c r="B142" t="s">
        <v>531</v>
      </c>
      <c r="C142" s="6"/>
    </row>
    <row r="143" spans="1:14" x14ac:dyDescent="0.3">
      <c r="B143" t="s">
        <v>532</v>
      </c>
      <c r="C143" s="3"/>
    </row>
    <row r="144" spans="1:14" x14ac:dyDescent="0.3">
      <c r="B144" t="s">
        <v>533</v>
      </c>
      <c r="C144" s="5"/>
    </row>
    <row r="145" spans="2:2" x14ac:dyDescent="0.3">
      <c r="B145" t="s">
        <v>534</v>
      </c>
    </row>
    <row r="146" spans="2:2" x14ac:dyDescent="0.3">
      <c r="B146" t="s">
        <v>535</v>
      </c>
    </row>
  </sheetData>
  <hyperlinks>
    <hyperlink ref="D47" r:id="rId1" xr:uid="{8332BCCD-6562-4C2C-AE9D-2141C32961D0}"/>
    <hyperlink ref="D93" r:id="rId2" xr:uid="{F17FDA7E-52E9-43F8-B4F4-4D7FD956ABE0}"/>
    <hyperlink ref="D12" r:id="rId3" xr:uid="{685F979A-C34C-42CF-A623-09D5CDFE4B9D}"/>
    <hyperlink ref="D20" r:id="rId4" xr:uid="{00948DD3-CB30-4FE9-A924-66FBA3C9B9D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6"/>
  <sheetViews>
    <sheetView workbookViewId="0">
      <pane ySplit="1" topLeftCell="A111" activePane="bottomLeft" state="frozen"/>
      <selection activeCell="H1" sqref="H1"/>
      <selection pane="bottomLeft" activeCell="A59" sqref="A59"/>
    </sheetView>
  </sheetViews>
  <sheetFormatPr defaultRowHeight="14.4" x14ac:dyDescent="0.3"/>
  <cols>
    <col min="1" max="1" width="40.109375" bestFit="1" customWidth="1"/>
    <col min="2" max="2" width="15.88671875" customWidth="1"/>
    <col min="4" max="4" width="44.5546875" bestFit="1" customWidth="1"/>
    <col min="5" max="5" width="13.6640625" bestFit="1" customWidth="1"/>
    <col min="6" max="6" width="20.109375" bestFit="1" customWidth="1"/>
    <col min="7" max="7" width="22.33203125" customWidth="1"/>
    <col min="13" max="13" width="24.6640625" bestFit="1" customWidth="1"/>
    <col min="14" max="14" width="33.6640625" bestFit="1" customWidth="1"/>
    <col min="15" max="15" width="28.44140625" customWidth="1"/>
    <col min="16" max="16" width="28.88671875" customWidth="1"/>
    <col min="17" max="17" width="32.33203125" customWidth="1"/>
    <col min="18" max="18" width="29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hidden="1" x14ac:dyDescent="0.3">
      <c r="A2" s="16" t="s">
        <v>27</v>
      </c>
      <c r="B2" t="s">
        <v>28</v>
      </c>
      <c r="C2" t="s">
        <v>29</v>
      </c>
      <c r="D2" s="18" t="s">
        <v>30</v>
      </c>
      <c r="E2" s="10" t="s">
        <v>31</v>
      </c>
      <c r="F2" t="s">
        <v>32</v>
      </c>
      <c r="G2" t="s">
        <v>34</v>
      </c>
      <c r="H2">
        <v>13</v>
      </c>
      <c r="I2">
        <v>6</v>
      </c>
      <c r="J2">
        <v>3</v>
      </c>
      <c r="K2">
        <v>0</v>
      </c>
      <c r="L2">
        <v>1</v>
      </c>
    </row>
    <row r="3" spans="1:18" hidden="1" x14ac:dyDescent="0.3">
      <c r="A3" s="16" t="s">
        <v>27</v>
      </c>
      <c r="B3" t="s">
        <v>28</v>
      </c>
      <c r="C3" t="s">
        <v>29</v>
      </c>
      <c r="D3" s="18" t="s">
        <v>30</v>
      </c>
      <c r="E3" s="10" t="s">
        <v>31</v>
      </c>
      <c r="F3" t="s">
        <v>32</v>
      </c>
      <c r="G3" t="s">
        <v>33</v>
      </c>
      <c r="H3">
        <v>13</v>
      </c>
      <c r="I3">
        <v>6</v>
      </c>
      <c r="J3">
        <v>3</v>
      </c>
      <c r="K3">
        <v>0</v>
      </c>
      <c r="L3">
        <v>1</v>
      </c>
    </row>
    <row r="4" spans="1:18" x14ac:dyDescent="0.3">
      <c r="A4" t="s">
        <v>35</v>
      </c>
      <c r="B4" t="s">
        <v>28</v>
      </c>
      <c r="C4" t="s">
        <v>29</v>
      </c>
      <c r="D4" t="s">
        <v>36</v>
      </c>
      <c r="E4" t="s">
        <v>37</v>
      </c>
      <c r="F4" t="s">
        <v>38</v>
      </c>
      <c r="G4" t="s">
        <v>39</v>
      </c>
      <c r="H4">
        <v>10</v>
      </c>
      <c r="I4">
        <v>4</v>
      </c>
      <c r="J4">
        <v>2</v>
      </c>
      <c r="K4">
        <v>0</v>
      </c>
      <c r="L4">
        <v>2</v>
      </c>
      <c r="N4">
        <v>15</v>
      </c>
      <c r="Q4">
        <v>25</v>
      </c>
      <c r="R4" s="1"/>
    </row>
    <row r="5" spans="1:18" x14ac:dyDescent="0.3">
      <c r="A5" s="2" t="s">
        <v>40</v>
      </c>
      <c r="B5" t="s">
        <v>21</v>
      </c>
      <c r="C5" t="s">
        <v>22</v>
      </c>
      <c r="D5" s="10" t="s">
        <v>41</v>
      </c>
      <c r="E5" s="10" t="s">
        <v>42</v>
      </c>
      <c r="F5" t="s">
        <v>43</v>
      </c>
      <c r="G5" t="s">
        <v>44</v>
      </c>
      <c r="H5">
        <v>80</v>
      </c>
      <c r="I5">
        <v>0</v>
      </c>
      <c r="J5">
        <v>0</v>
      </c>
      <c r="K5">
        <v>0</v>
      </c>
      <c r="L5">
        <v>0</v>
      </c>
      <c r="R5" s="1"/>
    </row>
    <row r="6" spans="1:18" hidden="1" x14ac:dyDescent="0.3">
      <c r="A6" s="16" t="s">
        <v>45</v>
      </c>
      <c r="B6" t="s">
        <v>21</v>
      </c>
      <c r="C6" t="s">
        <v>22</v>
      </c>
      <c r="D6" s="10" t="s">
        <v>41</v>
      </c>
      <c r="E6" s="10" t="s">
        <v>42</v>
      </c>
      <c r="F6" t="s">
        <v>43</v>
      </c>
      <c r="G6" t="s">
        <v>46</v>
      </c>
      <c r="H6">
        <v>55</v>
      </c>
      <c r="I6">
        <v>20</v>
      </c>
      <c r="J6">
        <v>9</v>
      </c>
      <c r="K6">
        <v>0</v>
      </c>
      <c r="L6">
        <v>2</v>
      </c>
      <c r="R6" s="1"/>
    </row>
    <row r="7" spans="1:18" x14ac:dyDescent="0.3">
      <c r="A7" t="s">
        <v>47</v>
      </c>
      <c r="B7" t="s">
        <v>21</v>
      </c>
      <c r="C7" t="s">
        <v>22</v>
      </c>
      <c r="D7" t="s">
        <v>48</v>
      </c>
      <c r="E7" t="s">
        <v>49</v>
      </c>
      <c r="F7" t="s">
        <v>50</v>
      </c>
      <c r="G7" t="s">
        <v>51</v>
      </c>
      <c r="H7">
        <v>30</v>
      </c>
      <c r="I7">
        <v>7</v>
      </c>
      <c r="J7">
        <v>2</v>
      </c>
      <c r="K7">
        <v>5</v>
      </c>
      <c r="L7">
        <v>2</v>
      </c>
      <c r="N7">
        <v>18</v>
      </c>
      <c r="Q7">
        <v>14</v>
      </c>
      <c r="R7" s="1"/>
    </row>
    <row r="8" spans="1:18" hidden="1" x14ac:dyDescent="0.3">
      <c r="A8" s="16" t="s">
        <v>52</v>
      </c>
      <c r="B8" t="s">
        <v>53</v>
      </c>
      <c r="C8" t="s">
        <v>29</v>
      </c>
      <c r="D8" s="10" t="s">
        <v>54</v>
      </c>
      <c r="F8" t="s">
        <v>56</v>
      </c>
      <c r="G8" t="s">
        <v>513</v>
      </c>
      <c r="H8">
        <v>17</v>
      </c>
      <c r="I8">
        <v>0</v>
      </c>
      <c r="J8">
        <v>0</v>
      </c>
      <c r="K8">
        <v>0</v>
      </c>
      <c r="L8">
        <v>0</v>
      </c>
    </row>
    <row r="9" spans="1:18" hidden="1" x14ac:dyDescent="0.3">
      <c r="A9" s="16" t="s">
        <v>58</v>
      </c>
      <c r="B9" t="s">
        <v>21</v>
      </c>
      <c r="C9" t="s">
        <v>29</v>
      </c>
      <c r="D9" s="18" t="s">
        <v>59</v>
      </c>
      <c r="E9" s="10" t="s">
        <v>60</v>
      </c>
      <c r="F9" t="s">
        <v>25</v>
      </c>
      <c r="G9" t="s">
        <v>61</v>
      </c>
      <c r="H9">
        <v>30</v>
      </c>
      <c r="I9">
        <v>15</v>
      </c>
      <c r="J9">
        <v>5</v>
      </c>
      <c r="K9">
        <v>0</v>
      </c>
      <c r="L9">
        <v>0</v>
      </c>
      <c r="M9" s="3">
        <v>10</v>
      </c>
      <c r="R9" s="1"/>
    </row>
    <row r="10" spans="1:18" x14ac:dyDescent="0.3">
      <c r="A10" s="10" t="s">
        <v>62</v>
      </c>
      <c r="B10" t="s">
        <v>21</v>
      </c>
      <c r="C10" t="s">
        <v>22</v>
      </c>
      <c r="D10" s="18" t="s">
        <v>63</v>
      </c>
      <c r="E10" s="10" t="s">
        <v>64</v>
      </c>
      <c r="F10" t="s">
        <v>65</v>
      </c>
      <c r="G10" t="s">
        <v>514</v>
      </c>
      <c r="H10">
        <v>25</v>
      </c>
      <c r="I10">
        <v>8</v>
      </c>
      <c r="J10">
        <v>3</v>
      </c>
      <c r="K10">
        <v>0</v>
      </c>
      <c r="L10">
        <v>2</v>
      </c>
      <c r="M10" s="16">
        <v>6</v>
      </c>
    </row>
    <row r="11" spans="1:18" hidden="1" x14ac:dyDescent="0.3">
      <c r="A11" s="7" t="s">
        <v>67</v>
      </c>
      <c r="D11" s="10"/>
    </row>
    <row r="12" spans="1:18" hidden="1" x14ac:dyDescent="0.3">
      <c r="A12" s="16" t="s">
        <v>70</v>
      </c>
      <c r="B12" t="s">
        <v>53</v>
      </c>
      <c r="C12" t="s">
        <v>29</v>
      </c>
      <c r="D12" t="s">
        <v>71</v>
      </c>
      <c r="E12" t="s">
        <v>72</v>
      </c>
      <c r="F12" t="s">
        <v>56</v>
      </c>
      <c r="G12" t="s">
        <v>73</v>
      </c>
      <c r="H12">
        <v>15</v>
      </c>
      <c r="I12">
        <v>0</v>
      </c>
      <c r="J12">
        <v>0</v>
      </c>
      <c r="K12">
        <v>0</v>
      </c>
      <c r="L12">
        <v>0</v>
      </c>
      <c r="N12">
        <v>20</v>
      </c>
      <c r="Q12">
        <v>15</v>
      </c>
      <c r="R12" s="1"/>
    </row>
    <row r="13" spans="1:18" hidden="1" x14ac:dyDescent="0.3">
      <c r="A13" s="16" t="s">
        <v>83</v>
      </c>
      <c r="B13" t="s">
        <v>21</v>
      </c>
      <c r="C13" t="s">
        <v>22</v>
      </c>
      <c r="D13" s="18" t="s">
        <v>84</v>
      </c>
      <c r="E13" s="10" t="s">
        <v>85</v>
      </c>
      <c r="F13" t="s">
        <v>25</v>
      </c>
      <c r="G13" t="s">
        <v>521</v>
      </c>
      <c r="H13">
        <v>20</v>
      </c>
      <c r="I13">
        <v>10</v>
      </c>
      <c r="J13">
        <v>4</v>
      </c>
      <c r="K13">
        <v>0</v>
      </c>
      <c r="L13">
        <v>0</v>
      </c>
      <c r="R13" s="1"/>
    </row>
    <row r="14" spans="1:18" hidden="1" x14ac:dyDescent="0.3">
      <c r="A14" s="16" t="s">
        <v>83</v>
      </c>
      <c r="B14" t="s">
        <v>21</v>
      </c>
      <c r="C14" t="s">
        <v>22</v>
      </c>
      <c r="D14" s="18" t="s">
        <v>84</v>
      </c>
      <c r="E14" s="10" t="s">
        <v>85</v>
      </c>
      <c r="F14" t="s">
        <v>25</v>
      </c>
      <c r="G14" t="s">
        <v>88</v>
      </c>
      <c r="H14">
        <v>32</v>
      </c>
      <c r="I14">
        <v>10</v>
      </c>
      <c r="J14">
        <v>5</v>
      </c>
      <c r="K14">
        <v>0</v>
      </c>
      <c r="L14">
        <v>1</v>
      </c>
      <c r="R14" s="1"/>
    </row>
    <row r="15" spans="1:18" hidden="1" x14ac:dyDescent="0.3">
      <c r="A15" s="7" t="s">
        <v>95</v>
      </c>
      <c r="B15" t="s">
        <v>21</v>
      </c>
      <c r="C15" t="s">
        <v>22</v>
      </c>
      <c r="D15" s="18" t="s">
        <v>96</v>
      </c>
      <c r="E15" s="10" t="s">
        <v>97</v>
      </c>
      <c r="F15" t="s">
        <v>25</v>
      </c>
      <c r="G15" t="s">
        <v>98</v>
      </c>
      <c r="H15">
        <v>16</v>
      </c>
      <c r="I15">
        <v>4</v>
      </c>
      <c r="J15">
        <v>2</v>
      </c>
      <c r="K15">
        <v>3</v>
      </c>
      <c r="L15">
        <v>1</v>
      </c>
      <c r="M15" s="3">
        <v>11</v>
      </c>
      <c r="R15" s="1"/>
    </row>
    <row r="16" spans="1:18" x14ac:dyDescent="0.3">
      <c r="A16" t="s">
        <v>99</v>
      </c>
      <c r="B16" t="s">
        <v>53</v>
      </c>
      <c r="C16" t="s">
        <v>22</v>
      </c>
      <c r="D16" t="s">
        <v>100</v>
      </c>
      <c r="E16" t="s">
        <v>101</v>
      </c>
      <c r="F16" t="s">
        <v>56</v>
      </c>
      <c r="G16" t="s">
        <v>102</v>
      </c>
      <c r="H16">
        <v>10</v>
      </c>
      <c r="I16">
        <v>0</v>
      </c>
      <c r="J16">
        <v>0</v>
      </c>
      <c r="K16">
        <v>0</v>
      </c>
      <c r="L16">
        <v>0</v>
      </c>
      <c r="N16">
        <v>6</v>
      </c>
      <c r="Q16">
        <v>5</v>
      </c>
      <c r="R16" s="1"/>
    </row>
    <row r="17" spans="1:18" hidden="1" x14ac:dyDescent="0.3">
      <c r="A17" s="16" t="s">
        <v>103</v>
      </c>
      <c r="B17" t="s">
        <v>28</v>
      </c>
      <c r="C17" t="s">
        <v>22</v>
      </c>
      <c r="D17" s="18" t="s">
        <v>104</v>
      </c>
      <c r="E17" s="10" t="s">
        <v>105</v>
      </c>
      <c r="F17" t="s">
        <v>43</v>
      </c>
      <c r="G17" t="s">
        <v>106</v>
      </c>
      <c r="H17">
        <v>13</v>
      </c>
      <c r="I17">
        <v>4</v>
      </c>
      <c r="J17">
        <v>2</v>
      </c>
      <c r="K17">
        <v>0</v>
      </c>
      <c r="L17">
        <v>1</v>
      </c>
    </row>
    <row r="18" spans="1:18" hidden="1" x14ac:dyDescent="0.3">
      <c r="A18" s="23" t="s">
        <v>107</v>
      </c>
      <c r="B18" t="s">
        <v>21</v>
      </c>
      <c r="C18" t="s">
        <v>22</v>
      </c>
      <c r="D18" t="s">
        <v>108</v>
      </c>
      <c r="E18" t="s">
        <v>109</v>
      </c>
      <c r="F18" t="s">
        <v>110</v>
      </c>
      <c r="G18" t="s">
        <v>111</v>
      </c>
      <c r="H18">
        <v>150</v>
      </c>
      <c r="I18">
        <v>55</v>
      </c>
      <c r="J18">
        <v>23</v>
      </c>
      <c r="K18">
        <v>0</v>
      </c>
      <c r="L18">
        <v>0</v>
      </c>
      <c r="N18">
        <v>17</v>
      </c>
      <c r="Q18">
        <v>11</v>
      </c>
      <c r="R18" s="1"/>
    </row>
    <row r="19" spans="1:18" x14ac:dyDescent="0.3">
      <c r="A19" t="s">
        <v>112</v>
      </c>
      <c r="B19" t="s">
        <v>113</v>
      </c>
      <c r="C19" t="s">
        <v>22</v>
      </c>
      <c r="D19" t="s">
        <v>114</v>
      </c>
      <c r="E19" t="s">
        <v>115</v>
      </c>
      <c r="F19" t="s">
        <v>92</v>
      </c>
      <c r="G19" t="s">
        <v>116</v>
      </c>
      <c r="H19">
        <v>100</v>
      </c>
      <c r="I19">
        <v>0</v>
      </c>
      <c r="J19">
        <v>0</v>
      </c>
      <c r="K19">
        <v>0</v>
      </c>
      <c r="L19">
        <v>0</v>
      </c>
      <c r="N19">
        <v>4</v>
      </c>
      <c r="Q19">
        <v>14</v>
      </c>
      <c r="R19" s="1"/>
    </row>
    <row r="20" spans="1:18" hidden="1" x14ac:dyDescent="0.3">
      <c r="A20" s="7" t="s">
        <v>117</v>
      </c>
      <c r="D20" s="10"/>
    </row>
    <row r="21" spans="1:18" hidden="1" x14ac:dyDescent="0.3">
      <c r="A21" s="16" t="s">
        <v>120</v>
      </c>
      <c r="B21" t="s">
        <v>28</v>
      </c>
      <c r="C21" t="s">
        <v>22</v>
      </c>
      <c r="D21" s="18" t="s">
        <v>121</v>
      </c>
      <c r="E21" s="10" t="s">
        <v>122</v>
      </c>
      <c r="F21" t="s">
        <v>32</v>
      </c>
      <c r="G21" t="s">
        <v>123</v>
      </c>
      <c r="H21">
        <v>7</v>
      </c>
      <c r="I21">
        <v>2</v>
      </c>
      <c r="J21">
        <v>1</v>
      </c>
      <c r="K21">
        <v>0</v>
      </c>
      <c r="L21">
        <v>0</v>
      </c>
    </row>
    <row r="22" spans="1:18" hidden="1" x14ac:dyDescent="0.3">
      <c r="A22" s="16" t="s">
        <v>124</v>
      </c>
      <c r="B22" t="s">
        <v>28</v>
      </c>
      <c r="C22" t="s">
        <v>22</v>
      </c>
      <c r="D22" s="18" t="s">
        <v>121</v>
      </c>
      <c r="E22" s="10" t="s">
        <v>122</v>
      </c>
      <c r="F22" t="s">
        <v>32</v>
      </c>
      <c r="G22" t="s">
        <v>34</v>
      </c>
      <c r="H22">
        <v>6</v>
      </c>
      <c r="I22">
        <v>2</v>
      </c>
      <c r="J22">
        <v>1</v>
      </c>
      <c r="K22">
        <v>0</v>
      </c>
      <c r="L22">
        <v>0</v>
      </c>
    </row>
    <row r="23" spans="1:18" hidden="1" x14ac:dyDescent="0.3">
      <c r="A23" s="16" t="s">
        <v>134</v>
      </c>
      <c r="B23" t="s">
        <v>28</v>
      </c>
      <c r="C23" t="s">
        <v>29</v>
      </c>
      <c r="D23" t="s">
        <v>135</v>
      </c>
      <c r="E23" t="s">
        <v>136</v>
      </c>
      <c r="F23" t="s">
        <v>137</v>
      </c>
      <c r="G23" t="s">
        <v>138</v>
      </c>
      <c r="H23">
        <v>20</v>
      </c>
      <c r="I23">
        <v>8</v>
      </c>
      <c r="J23">
        <v>4</v>
      </c>
      <c r="K23">
        <v>0</v>
      </c>
      <c r="L23">
        <v>0</v>
      </c>
      <c r="N23">
        <v>6</v>
      </c>
      <c r="Q23">
        <v>14</v>
      </c>
      <c r="R23" s="1"/>
    </row>
    <row r="24" spans="1:18" hidden="1" x14ac:dyDescent="0.3">
      <c r="A24" s="16" t="s">
        <v>139</v>
      </c>
      <c r="B24" t="s">
        <v>21</v>
      </c>
      <c r="C24" t="s">
        <v>22</v>
      </c>
      <c r="D24" t="s">
        <v>140</v>
      </c>
      <c r="E24" t="s">
        <v>141</v>
      </c>
      <c r="F24" t="s">
        <v>142</v>
      </c>
      <c r="G24" t="s">
        <v>143</v>
      </c>
      <c r="H24">
        <v>35</v>
      </c>
      <c r="I24">
        <v>0</v>
      </c>
      <c r="J24">
        <v>0</v>
      </c>
      <c r="K24">
        <v>0</v>
      </c>
      <c r="L24">
        <v>2</v>
      </c>
      <c r="N24">
        <v>5</v>
      </c>
      <c r="Q24">
        <v>13</v>
      </c>
      <c r="R24" s="1"/>
    </row>
    <row r="25" spans="1:18" hidden="1" x14ac:dyDescent="0.3">
      <c r="A25" s="16" t="s">
        <v>139</v>
      </c>
      <c r="B25" t="s">
        <v>21</v>
      </c>
      <c r="C25" t="s">
        <v>22</v>
      </c>
      <c r="D25" t="s">
        <v>140</v>
      </c>
      <c r="E25" t="s">
        <v>141</v>
      </c>
      <c r="F25" t="s">
        <v>142</v>
      </c>
      <c r="G25" t="s">
        <v>144</v>
      </c>
      <c r="H25">
        <v>12</v>
      </c>
      <c r="I25">
        <v>10</v>
      </c>
      <c r="J25">
        <v>2</v>
      </c>
      <c r="K25">
        <v>0</v>
      </c>
      <c r="L25">
        <v>2</v>
      </c>
      <c r="N25">
        <v>8</v>
      </c>
      <c r="Q25">
        <v>16</v>
      </c>
      <c r="R25" s="1"/>
    </row>
    <row r="26" spans="1:18" hidden="1" x14ac:dyDescent="0.3">
      <c r="A26" s="16" t="s">
        <v>139</v>
      </c>
      <c r="B26" t="s">
        <v>21</v>
      </c>
      <c r="C26" t="s">
        <v>22</v>
      </c>
      <c r="D26" t="s">
        <v>140</v>
      </c>
      <c r="E26" t="s">
        <v>141</v>
      </c>
      <c r="F26" t="s">
        <v>142</v>
      </c>
      <c r="G26" t="s">
        <v>536</v>
      </c>
      <c r="H26">
        <v>12</v>
      </c>
      <c r="I26">
        <v>0</v>
      </c>
      <c r="J26">
        <v>0</v>
      </c>
      <c r="K26">
        <v>0</v>
      </c>
      <c r="L26">
        <v>2</v>
      </c>
      <c r="N26">
        <v>9</v>
      </c>
      <c r="Q26">
        <v>10</v>
      </c>
      <c r="R26" s="1"/>
    </row>
    <row r="27" spans="1:18" x14ac:dyDescent="0.3">
      <c r="A27" t="s">
        <v>146</v>
      </c>
      <c r="B27" t="s">
        <v>21</v>
      </c>
      <c r="C27" t="s">
        <v>29</v>
      </c>
      <c r="D27" t="s">
        <v>147</v>
      </c>
      <c r="E27" t="s">
        <v>148</v>
      </c>
      <c r="F27" t="s">
        <v>25</v>
      </c>
      <c r="G27" t="s">
        <v>151</v>
      </c>
      <c r="H27">
        <v>50</v>
      </c>
      <c r="I27">
        <v>20</v>
      </c>
      <c r="J27">
        <v>10</v>
      </c>
      <c r="K27">
        <v>0</v>
      </c>
      <c r="L27">
        <v>0</v>
      </c>
      <c r="N27">
        <v>10.5</v>
      </c>
      <c r="O27">
        <v>6.5</v>
      </c>
      <c r="P27">
        <v>11.5</v>
      </c>
      <c r="Q27">
        <v>6.5</v>
      </c>
      <c r="R27" s="1"/>
    </row>
    <row r="28" spans="1:18" hidden="1" x14ac:dyDescent="0.3">
      <c r="A28" s="17" t="s">
        <v>146</v>
      </c>
      <c r="B28" t="s">
        <v>21</v>
      </c>
      <c r="C28" t="s">
        <v>29</v>
      </c>
      <c r="D28" t="s">
        <v>147</v>
      </c>
      <c r="E28" t="s">
        <v>148</v>
      </c>
      <c r="F28" t="s">
        <v>25</v>
      </c>
      <c r="G28" t="s">
        <v>537</v>
      </c>
      <c r="H28">
        <v>75</v>
      </c>
      <c r="I28">
        <v>0</v>
      </c>
      <c r="J28">
        <v>0</v>
      </c>
      <c r="K28">
        <v>0</v>
      </c>
      <c r="L28">
        <v>0</v>
      </c>
      <c r="N28">
        <v>19</v>
      </c>
      <c r="O28">
        <v>11</v>
      </c>
      <c r="P28">
        <v>18.5</v>
      </c>
      <c r="Q28">
        <v>12.5</v>
      </c>
      <c r="R28" s="1"/>
    </row>
    <row r="29" spans="1:18" hidden="1" x14ac:dyDescent="0.3">
      <c r="A29" s="16" t="s">
        <v>146</v>
      </c>
      <c r="B29" t="s">
        <v>21</v>
      </c>
      <c r="C29" t="s">
        <v>29</v>
      </c>
      <c r="D29" t="s">
        <v>147</v>
      </c>
      <c r="E29" t="s">
        <v>148</v>
      </c>
      <c r="F29" t="s">
        <v>25</v>
      </c>
      <c r="G29" t="s">
        <v>242</v>
      </c>
      <c r="H29">
        <v>75</v>
      </c>
      <c r="I29">
        <v>23</v>
      </c>
      <c r="J29">
        <v>5</v>
      </c>
      <c r="K29">
        <v>0</v>
      </c>
      <c r="L29">
        <v>0</v>
      </c>
      <c r="N29">
        <v>23</v>
      </c>
      <c r="O29">
        <v>15.5</v>
      </c>
      <c r="P29">
        <v>22.5</v>
      </c>
      <c r="Q29">
        <v>16.5</v>
      </c>
      <c r="R29" s="1"/>
    </row>
    <row r="30" spans="1:18" hidden="1" x14ac:dyDescent="0.3">
      <c r="A30" s="16" t="s">
        <v>152</v>
      </c>
      <c r="B30" t="s">
        <v>28</v>
      </c>
      <c r="C30" t="s">
        <v>22</v>
      </c>
      <c r="D30" t="s">
        <v>153</v>
      </c>
      <c r="E30" t="s">
        <v>154</v>
      </c>
      <c r="F30" t="s">
        <v>155</v>
      </c>
      <c r="G30" t="s">
        <v>156</v>
      </c>
      <c r="H30">
        <v>30</v>
      </c>
      <c r="I30">
        <v>0</v>
      </c>
      <c r="J30">
        <v>0</v>
      </c>
      <c r="K30">
        <v>0</v>
      </c>
      <c r="L30">
        <v>0</v>
      </c>
      <c r="N30">
        <v>10</v>
      </c>
      <c r="Q30">
        <v>2</v>
      </c>
      <c r="R30" s="1"/>
    </row>
    <row r="31" spans="1:18" hidden="1" x14ac:dyDescent="0.3">
      <c r="A31" s="16" t="s">
        <v>157</v>
      </c>
      <c r="B31" t="s">
        <v>53</v>
      </c>
      <c r="C31" t="s">
        <v>22</v>
      </c>
      <c r="D31" t="s">
        <v>153</v>
      </c>
      <c r="E31" t="s">
        <v>154</v>
      </c>
      <c r="F31" t="s">
        <v>56</v>
      </c>
      <c r="G31" t="s">
        <v>156</v>
      </c>
      <c r="H31">
        <v>30</v>
      </c>
      <c r="I31">
        <v>0</v>
      </c>
      <c r="J31">
        <v>0</v>
      </c>
      <c r="K31">
        <v>0</v>
      </c>
      <c r="L31">
        <v>0</v>
      </c>
    </row>
    <row r="32" spans="1:18" hidden="1" x14ac:dyDescent="0.3">
      <c r="A32" s="16" t="s">
        <v>159</v>
      </c>
      <c r="B32" t="s">
        <v>28</v>
      </c>
      <c r="C32" t="s">
        <v>22</v>
      </c>
      <c r="D32" t="s">
        <v>160</v>
      </c>
      <c r="E32" t="s">
        <v>161</v>
      </c>
      <c r="F32" t="s">
        <v>162</v>
      </c>
      <c r="G32" t="s">
        <v>163</v>
      </c>
      <c r="H32">
        <v>17</v>
      </c>
      <c r="I32">
        <v>6</v>
      </c>
      <c r="J32">
        <v>3</v>
      </c>
      <c r="K32">
        <v>4</v>
      </c>
      <c r="L32">
        <v>0</v>
      </c>
      <c r="N32">
        <v>3</v>
      </c>
      <c r="Q32">
        <v>11</v>
      </c>
      <c r="R32" s="1"/>
    </row>
    <row r="33" spans="1:18" x14ac:dyDescent="0.3">
      <c r="A33" t="s">
        <v>164</v>
      </c>
      <c r="B33" t="s">
        <v>28</v>
      </c>
      <c r="C33" t="s">
        <v>22</v>
      </c>
      <c r="D33" t="s">
        <v>165</v>
      </c>
      <c r="E33" t="s">
        <v>166</v>
      </c>
      <c r="F33" t="s">
        <v>32</v>
      </c>
      <c r="G33" t="s">
        <v>167</v>
      </c>
      <c r="H33">
        <v>25</v>
      </c>
      <c r="I33">
        <v>0</v>
      </c>
      <c r="J33">
        <v>0</v>
      </c>
      <c r="K33">
        <v>0</v>
      </c>
      <c r="L33">
        <v>0</v>
      </c>
      <c r="N33">
        <v>12</v>
      </c>
      <c r="Q33">
        <v>5</v>
      </c>
      <c r="R33" s="1"/>
    </row>
    <row r="34" spans="1:18" x14ac:dyDescent="0.3">
      <c r="A34" t="s">
        <v>164</v>
      </c>
      <c r="B34" t="s">
        <v>53</v>
      </c>
      <c r="C34" t="s">
        <v>22</v>
      </c>
      <c r="D34" t="s">
        <v>165</v>
      </c>
      <c r="E34" t="s">
        <v>166</v>
      </c>
      <c r="F34" t="s">
        <v>32</v>
      </c>
      <c r="G34" t="s">
        <v>168</v>
      </c>
      <c r="H34">
        <v>7</v>
      </c>
      <c r="I34">
        <v>0</v>
      </c>
      <c r="J34">
        <v>0</v>
      </c>
      <c r="K34">
        <v>0</v>
      </c>
      <c r="L34">
        <v>0</v>
      </c>
      <c r="N34">
        <v>7.5</v>
      </c>
      <c r="O34">
        <v>5</v>
      </c>
      <c r="P34">
        <v>9.5</v>
      </c>
      <c r="Q34">
        <v>3.5</v>
      </c>
    </row>
    <row r="35" spans="1:18" x14ac:dyDescent="0.3">
      <c r="A35" t="s">
        <v>164</v>
      </c>
      <c r="B35" t="s">
        <v>53</v>
      </c>
      <c r="C35" t="s">
        <v>22</v>
      </c>
      <c r="D35" t="s">
        <v>165</v>
      </c>
      <c r="E35" t="s">
        <v>166</v>
      </c>
      <c r="F35" t="s">
        <v>32</v>
      </c>
      <c r="G35" t="s">
        <v>169</v>
      </c>
      <c r="H35">
        <v>20</v>
      </c>
      <c r="I35">
        <v>0</v>
      </c>
      <c r="J35">
        <v>0</v>
      </c>
      <c r="K35">
        <v>0</v>
      </c>
      <c r="L35">
        <v>0</v>
      </c>
      <c r="N35">
        <v>9.5</v>
      </c>
      <c r="O35">
        <v>3</v>
      </c>
      <c r="P35">
        <v>9.5</v>
      </c>
      <c r="Q35">
        <v>3.5</v>
      </c>
    </row>
    <row r="36" spans="1:18" hidden="1" x14ac:dyDescent="0.3">
      <c r="A36" s="16" t="s">
        <v>164</v>
      </c>
      <c r="B36" t="s">
        <v>53</v>
      </c>
      <c r="C36" t="s">
        <v>22</v>
      </c>
      <c r="D36" t="s">
        <v>165</v>
      </c>
      <c r="E36" t="s">
        <v>166</v>
      </c>
      <c r="F36" t="s">
        <v>32</v>
      </c>
      <c r="G36" t="s">
        <v>167</v>
      </c>
      <c r="H36">
        <v>32</v>
      </c>
      <c r="I36">
        <v>0</v>
      </c>
      <c r="J36">
        <v>0</v>
      </c>
      <c r="K36">
        <v>0</v>
      </c>
      <c r="L36">
        <v>0</v>
      </c>
      <c r="N36">
        <v>10</v>
      </c>
      <c r="O36">
        <v>3.5</v>
      </c>
      <c r="P36">
        <v>10</v>
      </c>
      <c r="Q36">
        <v>4.5</v>
      </c>
    </row>
    <row r="37" spans="1:18" x14ac:dyDescent="0.3">
      <c r="A37" t="s">
        <v>170</v>
      </c>
      <c r="B37" t="s">
        <v>113</v>
      </c>
      <c r="D37" t="s">
        <v>171</v>
      </c>
      <c r="E37" t="s">
        <v>172</v>
      </c>
      <c r="F37" t="s">
        <v>56</v>
      </c>
      <c r="G37" t="s">
        <v>173</v>
      </c>
      <c r="H37">
        <v>80</v>
      </c>
      <c r="I37">
        <v>0</v>
      </c>
      <c r="J37">
        <v>0</v>
      </c>
      <c r="K37">
        <v>0</v>
      </c>
      <c r="L37">
        <v>0</v>
      </c>
      <c r="N37">
        <v>7</v>
      </c>
      <c r="Q37">
        <v>4</v>
      </c>
      <c r="R37" s="1"/>
    </row>
    <row r="38" spans="1:18" x14ac:dyDescent="0.3">
      <c r="A38" t="s">
        <v>170</v>
      </c>
      <c r="B38" t="s">
        <v>53</v>
      </c>
      <c r="D38" t="s">
        <v>171</v>
      </c>
      <c r="E38" t="s">
        <v>172</v>
      </c>
      <c r="F38" t="s">
        <v>56</v>
      </c>
      <c r="G38" t="s">
        <v>174</v>
      </c>
      <c r="H38">
        <v>10</v>
      </c>
      <c r="I38">
        <v>0</v>
      </c>
      <c r="J38">
        <v>0</v>
      </c>
      <c r="K38">
        <v>0</v>
      </c>
      <c r="L38">
        <v>0</v>
      </c>
      <c r="N38">
        <v>6</v>
      </c>
      <c r="O38">
        <v>8</v>
      </c>
      <c r="P38">
        <v>1.5</v>
      </c>
      <c r="Q38">
        <v>5.5</v>
      </c>
    </row>
    <row r="39" spans="1:18" hidden="1" x14ac:dyDescent="0.3">
      <c r="A39" s="16" t="s">
        <v>170</v>
      </c>
      <c r="B39" t="s">
        <v>53</v>
      </c>
      <c r="D39" t="s">
        <v>171</v>
      </c>
      <c r="E39" t="s">
        <v>172</v>
      </c>
      <c r="F39" t="s">
        <v>56</v>
      </c>
      <c r="G39" t="s">
        <v>173</v>
      </c>
      <c r="H39">
        <v>80</v>
      </c>
      <c r="I39">
        <v>0</v>
      </c>
      <c r="J39">
        <v>0</v>
      </c>
      <c r="K39">
        <v>0</v>
      </c>
      <c r="L39">
        <v>0</v>
      </c>
      <c r="N39">
        <v>6.5</v>
      </c>
      <c r="O39">
        <v>5</v>
      </c>
      <c r="P39">
        <v>9</v>
      </c>
      <c r="Q39">
        <v>3.5</v>
      </c>
    </row>
    <row r="40" spans="1:18" hidden="1" x14ac:dyDescent="0.3">
      <c r="A40" s="7" t="s">
        <v>522</v>
      </c>
      <c r="D40" s="10"/>
    </row>
    <row r="41" spans="1:18" x14ac:dyDescent="0.3">
      <c r="A41" t="s">
        <v>183</v>
      </c>
      <c r="B41" t="s">
        <v>28</v>
      </c>
      <c r="C41" t="s">
        <v>22</v>
      </c>
      <c r="D41" t="s">
        <v>184</v>
      </c>
      <c r="E41" t="s">
        <v>185</v>
      </c>
      <c r="F41" t="s">
        <v>186</v>
      </c>
      <c r="G41" t="s">
        <v>516</v>
      </c>
      <c r="H41">
        <v>40</v>
      </c>
      <c r="I41">
        <v>14</v>
      </c>
      <c r="J41">
        <v>7</v>
      </c>
      <c r="K41">
        <v>0</v>
      </c>
      <c r="L41">
        <v>0</v>
      </c>
      <c r="N41">
        <v>12</v>
      </c>
      <c r="Q41">
        <v>8</v>
      </c>
      <c r="R41" s="1"/>
    </row>
    <row r="42" spans="1:18" hidden="1" x14ac:dyDescent="0.3">
      <c r="A42" s="7" t="s">
        <v>188</v>
      </c>
      <c r="B42" t="s">
        <v>21</v>
      </c>
      <c r="C42" t="s">
        <v>22</v>
      </c>
      <c r="D42" t="s">
        <v>189</v>
      </c>
      <c r="E42" t="s">
        <v>190</v>
      </c>
      <c r="F42" t="s">
        <v>191</v>
      </c>
      <c r="G42" t="s">
        <v>192</v>
      </c>
      <c r="H42">
        <v>80</v>
      </c>
      <c r="I42">
        <v>0</v>
      </c>
      <c r="J42">
        <v>0</v>
      </c>
      <c r="K42">
        <v>0</v>
      </c>
      <c r="L42">
        <v>0</v>
      </c>
      <c r="N42">
        <v>11.5</v>
      </c>
      <c r="O42">
        <v>5.5</v>
      </c>
      <c r="P42">
        <v>10.5</v>
      </c>
      <c r="Q42">
        <v>6</v>
      </c>
      <c r="R42" s="1"/>
    </row>
    <row r="43" spans="1:18" x14ac:dyDescent="0.3">
      <c r="A43" t="s">
        <v>193</v>
      </c>
      <c r="B43" t="s">
        <v>28</v>
      </c>
      <c r="C43" t="s">
        <v>22</v>
      </c>
      <c r="D43" t="s">
        <v>194</v>
      </c>
      <c r="E43" t="s">
        <v>195</v>
      </c>
      <c r="F43" t="s">
        <v>43</v>
      </c>
      <c r="G43" t="s">
        <v>196</v>
      </c>
      <c r="H43">
        <v>10</v>
      </c>
      <c r="I43">
        <v>4</v>
      </c>
      <c r="J43">
        <v>2</v>
      </c>
      <c r="K43">
        <v>2</v>
      </c>
      <c r="L43">
        <v>0</v>
      </c>
      <c r="N43">
        <v>6</v>
      </c>
      <c r="Q43">
        <v>13</v>
      </c>
      <c r="R43" s="1"/>
    </row>
    <row r="44" spans="1:18" x14ac:dyDescent="0.3">
      <c r="A44" s="2" t="s">
        <v>517</v>
      </c>
      <c r="B44" t="s">
        <v>28</v>
      </c>
      <c r="C44" t="s">
        <v>22</v>
      </c>
      <c r="D44" t="s">
        <v>198</v>
      </c>
      <c r="E44" t="s">
        <v>199</v>
      </c>
      <c r="F44" t="s">
        <v>200</v>
      </c>
      <c r="G44" t="s">
        <v>201</v>
      </c>
      <c r="H44">
        <v>75</v>
      </c>
      <c r="I44">
        <v>28</v>
      </c>
      <c r="J44">
        <v>14</v>
      </c>
      <c r="K44">
        <v>0</v>
      </c>
      <c r="L44">
        <v>2</v>
      </c>
      <c r="N44">
        <v>31</v>
      </c>
      <c r="Q44">
        <v>19</v>
      </c>
      <c r="R44" s="1"/>
    </row>
    <row r="45" spans="1:18" x14ac:dyDescent="0.3">
      <c r="A45" t="s">
        <v>197</v>
      </c>
      <c r="B45" t="s">
        <v>21</v>
      </c>
      <c r="D45" t="s">
        <v>198</v>
      </c>
      <c r="E45" t="s">
        <v>199</v>
      </c>
      <c r="F45" t="s">
        <v>92</v>
      </c>
      <c r="G45" t="s">
        <v>203</v>
      </c>
      <c r="H45">
        <v>50</v>
      </c>
      <c r="I45">
        <v>0</v>
      </c>
      <c r="J45">
        <v>0</v>
      </c>
      <c r="K45">
        <v>0</v>
      </c>
      <c r="L45">
        <v>0</v>
      </c>
      <c r="N45">
        <v>3.5</v>
      </c>
      <c r="O45">
        <v>14</v>
      </c>
      <c r="P45">
        <v>7.5</v>
      </c>
      <c r="Q45">
        <v>10.5</v>
      </c>
      <c r="R45" s="1"/>
    </row>
    <row r="46" spans="1:18" x14ac:dyDescent="0.3">
      <c r="A46" t="s">
        <v>208</v>
      </c>
      <c r="B46" t="s">
        <v>21</v>
      </c>
      <c r="C46" t="s">
        <v>22</v>
      </c>
      <c r="D46" t="s">
        <v>209</v>
      </c>
      <c r="E46" t="s">
        <v>210</v>
      </c>
      <c r="F46" t="s">
        <v>211</v>
      </c>
      <c r="G46" t="s">
        <v>212</v>
      </c>
      <c r="I46">
        <v>10</v>
      </c>
      <c r="J46">
        <v>4</v>
      </c>
      <c r="K46">
        <v>0</v>
      </c>
      <c r="L46">
        <v>1</v>
      </c>
      <c r="N46">
        <v>10.5</v>
      </c>
      <c r="O46">
        <v>6.5</v>
      </c>
      <c r="P46">
        <v>10</v>
      </c>
      <c r="Q46">
        <v>6.5</v>
      </c>
    </row>
    <row r="47" spans="1:18" x14ac:dyDescent="0.3">
      <c r="A47" t="s">
        <v>208</v>
      </c>
      <c r="B47" t="s">
        <v>21</v>
      </c>
      <c r="C47" t="s">
        <v>22</v>
      </c>
      <c r="D47" t="s">
        <v>209</v>
      </c>
      <c r="E47" t="s">
        <v>213</v>
      </c>
      <c r="F47" t="s">
        <v>211</v>
      </c>
      <c r="G47" t="s">
        <v>214</v>
      </c>
      <c r="I47">
        <v>8</v>
      </c>
      <c r="J47">
        <v>6</v>
      </c>
      <c r="K47">
        <v>0</v>
      </c>
      <c r="L47">
        <v>1</v>
      </c>
      <c r="N47">
        <v>16</v>
      </c>
      <c r="O47">
        <v>11.5</v>
      </c>
      <c r="P47">
        <v>16</v>
      </c>
      <c r="Q47">
        <v>11</v>
      </c>
    </row>
    <row r="48" spans="1:18" x14ac:dyDescent="0.3">
      <c r="A48" t="s">
        <v>208</v>
      </c>
      <c r="B48" t="s">
        <v>21</v>
      </c>
      <c r="C48" t="s">
        <v>22</v>
      </c>
      <c r="D48" t="s">
        <v>209</v>
      </c>
      <c r="E48" t="s">
        <v>215</v>
      </c>
      <c r="F48" t="s">
        <v>211</v>
      </c>
      <c r="G48" t="s">
        <v>216</v>
      </c>
      <c r="I48">
        <v>7</v>
      </c>
      <c r="J48">
        <v>3</v>
      </c>
      <c r="K48">
        <v>0</v>
      </c>
      <c r="L48">
        <v>0</v>
      </c>
      <c r="N48">
        <v>17.5</v>
      </c>
      <c r="O48">
        <v>12</v>
      </c>
      <c r="P48">
        <v>17.5</v>
      </c>
      <c r="Q48">
        <v>12.5</v>
      </c>
    </row>
    <row r="49" spans="1:18" x14ac:dyDescent="0.3">
      <c r="A49" t="s">
        <v>208</v>
      </c>
      <c r="B49" t="s">
        <v>21</v>
      </c>
      <c r="C49" t="s">
        <v>22</v>
      </c>
      <c r="D49" t="s">
        <v>209</v>
      </c>
      <c r="E49" t="s">
        <v>213</v>
      </c>
      <c r="F49" t="s">
        <v>211</v>
      </c>
      <c r="G49" t="s">
        <v>217</v>
      </c>
      <c r="I49">
        <v>16</v>
      </c>
      <c r="J49">
        <v>4</v>
      </c>
      <c r="K49">
        <v>0</v>
      </c>
      <c r="L49">
        <v>1</v>
      </c>
      <c r="N49">
        <v>20.5</v>
      </c>
      <c r="O49">
        <v>13</v>
      </c>
      <c r="P49">
        <v>20</v>
      </c>
      <c r="Q49">
        <v>15</v>
      </c>
    </row>
    <row r="50" spans="1:18" x14ac:dyDescent="0.3">
      <c r="A50" t="s">
        <v>208</v>
      </c>
      <c r="B50" t="s">
        <v>21</v>
      </c>
      <c r="C50" t="s">
        <v>22</v>
      </c>
      <c r="D50" t="s">
        <v>209</v>
      </c>
      <c r="E50" t="s">
        <v>215</v>
      </c>
      <c r="F50" t="s">
        <v>211</v>
      </c>
      <c r="G50" t="s">
        <v>218</v>
      </c>
      <c r="I50">
        <v>16</v>
      </c>
      <c r="J50">
        <v>4</v>
      </c>
      <c r="K50">
        <v>0</v>
      </c>
      <c r="L50">
        <v>1</v>
      </c>
      <c r="N50">
        <v>23</v>
      </c>
      <c r="O50">
        <v>15</v>
      </c>
      <c r="P50">
        <v>22.5</v>
      </c>
      <c r="Q50">
        <v>16.5</v>
      </c>
    </row>
    <row r="51" spans="1:18" x14ac:dyDescent="0.3">
      <c r="A51" t="s">
        <v>219</v>
      </c>
      <c r="B51" t="s">
        <v>28</v>
      </c>
      <c r="C51" t="s">
        <v>22</v>
      </c>
      <c r="D51" t="s">
        <v>220</v>
      </c>
      <c r="E51" t="s">
        <v>221</v>
      </c>
      <c r="F51" t="s">
        <v>25</v>
      </c>
      <c r="G51" t="s">
        <v>520</v>
      </c>
      <c r="H51">
        <v>30</v>
      </c>
      <c r="I51">
        <v>0</v>
      </c>
      <c r="J51">
        <v>0</v>
      </c>
      <c r="K51">
        <v>0</v>
      </c>
      <c r="L51">
        <v>0</v>
      </c>
      <c r="N51">
        <v>9</v>
      </c>
      <c r="Q51">
        <v>19</v>
      </c>
      <c r="R51" s="1"/>
    </row>
    <row r="52" spans="1:18" hidden="1" x14ac:dyDescent="0.3">
      <c r="A52" s="7" t="s">
        <v>230</v>
      </c>
      <c r="B52" t="s">
        <v>28</v>
      </c>
      <c r="C52" t="s">
        <v>22</v>
      </c>
      <c r="D52" t="s">
        <v>231</v>
      </c>
      <c r="E52" t="s">
        <v>232</v>
      </c>
      <c r="F52" t="s">
        <v>92</v>
      </c>
      <c r="G52" t="s">
        <v>233</v>
      </c>
      <c r="H52">
        <v>25</v>
      </c>
      <c r="I52">
        <v>10</v>
      </c>
      <c r="J52">
        <v>5</v>
      </c>
      <c r="K52">
        <v>0</v>
      </c>
      <c r="L52">
        <v>3</v>
      </c>
      <c r="N52">
        <v>6</v>
      </c>
      <c r="Q52">
        <v>15</v>
      </c>
      <c r="R52" s="1"/>
    </row>
    <row r="53" spans="1:18" x14ac:dyDescent="0.3">
      <c r="A53" t="s">
        <v>234</v>
      </c>
      <c r="B53" t="s">
        <v>21</v>
      </c>
      <c r="C53" t="s">
        <v>22</v>
      </c>
      <c r="D53" t="s">
        <v>235</v>
      </c>
      <c r="E53" t="s">
        <v>236</v>
      </c>
      <c r="F53" t="s">
        <v>38</v>
      </c>
      <c r="G53" t="s">
        <v>237</v>
      </c>
      <c r="H53">
        <v>104</v>
      </c>
      <c r="I53">
        <v>0</v>
      </c>
      <c r="J53">
        <v>0</v>
      </c>
      <c r="K53">
        <v>0</v>
      </c>
      <c r="L53">
        <v>0</v>
      </c>
      <c r="N53">
        <v>19</v>
      </c>
      <c r="Q53">
        <v>12</v>
      </c>
      <c r="R53" s="1"/>
    </row>
    <row r="54" spans="1:18" x14ac:dyDescent="0.3">
      <c r="A54" t="s">
        <v>238</v>
      </c>
      <c r="B54" t="s">
        <v>21</v>
      </c>
      <c r="C54" t="s">
        <v>22</v>
      </c>
      <c r="D54" t="s">
        <v>239</v>
      </c>
      <c r="E54" t="s">
        <v>240</v>
      </c>
      <c r="F54" t="s">
        <v>92</v>
      </c>
      <c r="G54" t="s">
        <v>241</v>
      </c>
      <c r="H54">
        <v>60</v>
      </c>
      <c r="I54">
        <v>0</v>
      </c>
      <c r="J54">
        <v>0</v>
      </c>
      <c r="K54">
        <v>0</v>
      </c>
      <c r="L54">
        <v>0</v>
      </c>
      <c r="N54">
        <v>7</v>
      </c>
      <c r="Q54">
        <v>11</v>
      </c>
      <c r="R54" s="1"/>
    </row>
    <row r="55" spans="1:18" x14ac:dyDescent="0.3">
      <c r="A55" t="s">
        <v>238</v>
      </c>
      <c r="B55" t="s">
        <v>21</v>
      </c>
      <c r="C55" t="s">
        <v>22</v>
      </c>
      <c r="D55" t="s">
        <v>239</v>
      </c>
      <c r="E55" t="s">
        <v>240</v>
      </c>
      <c r="F55" t="s">
        <v>92</v>
      </c>
      <c r="G55" t="s">
        <v>242</v>
      </c>
      <c r="H55">
        <v>85</v>
      </c>
      <c r="I55">
        <v>0</v>
      </c>
      <c r="J55">
        <v>0</v>
      </c>
      <c r="K55">
        <v>0</v>
      </c>
      <c r="L55">
        <v>0</v>
      </c>
      <c r="N55">
        <v>32</v>
      </c>
      <c r="Q55">
        <v>24</v>
      </c>
      <c r="R55" s="1"/>
    </row>
    <row r="56" spans="1:18" hidden="1" x14ac:dyDescent="0.3">
      <c r="A56" s="7" t="s">
        <v>243</v>
      </c>
      <c r="B56" t="s">
        <v>28</v>
      </c>
      <c r="C56" t="s">
        <v>22</v>
      </c>
      <c r="D56" t="s">
        <v>244</v>
      </c>
      <c r="E56" t="s">
        <v>245</v>
      </c>
      <c r="F56" t="s">
        <v>246</v>
      </c>
      <c r="G56" t="s">
        <v>247</v>
      </c>
      <c r="H56">
        <v>10</v>
      </c>
      <c r="I56">
        <v>4</v>
      </c>
      <c r="J56">
        <v>3</v>
      </c>
      <c r="K56">
        <v>2</v>
      </c>
      <c r="L56">
        <v>2</v>
      </c>
      <c r="N56">
        <v>5</v>
      </c>
      <c r="Q56">
        <v>13</v>
      </c>
      <c r="R56" s="1"/>
    </row>
    <row r="57" spans="1:18" x14ac:dyDescent="0.3">
      <c r="A57" t="s">
        <v>248</v>
      </c>
      <c r="B57" t="s">
        <v>21</v>
      </c>
      <c r="C57" t="s">
        <v>22</v>
      </c>
      <c r="D57" t="s">
        <v>249</v>
      </c>
      <c r="E57" t="s">
        <v>250</v>
      </c>
      <c r="F57" t="s">
        <v>251</v>
      </c>
      <c r="G57" t="s">
        <v>253</v>
      </c>
      <c r="H57">
        <v>45</v>
      </c>
      <c r="I57">
        <v>16</v>
      </c>
      <c r="J57">
        <v>8</v>
      </c>
      <c r="K57">
        <v>10</v>
      </c>
      <c r="L57">
        <v>2</v>
      </c>
      <c r="M57" s="3">
        <v>9</v>
      </c>
      <c r="N57">
        <v>19</v>
      </c>
      <c r="Q57">
        <v>7</v>
      </c>
      <c r="R57" s="1"/>
    </row>
    <row r="58" spans="1:18" x14ac:dyDescent="0.3">
      <c r="A58" t="s">
        <v>255</v>
      </c>
      <c r="B58" t="s">
        <v>21</v>
      </c>
      <c r="C58" t="s">
        <v>22</v>
      </c>
      <c r="D58" t="s">
        <v>256</v>
      </c>
      <c r="E58" t="s">
        <v>257</v>
      </c>
      <c r="F58" t="s">
        <v>92</v>
      </c>
      <c r="G58" t="s">
        <v>258</v>
      </c>
      <c r="H58">
        <v>50</v>
      </c>
      <c r="I58">
        <v>25</v>
      </c>
      <c r="J58">
        <v>10</v>
      </c>
      <c r="K58">
        <v>0</v>
      </c>
      <c r="L58">
        <v>2</v>
      </c>
      <c r="N58">
        <v>6</v>
      </c>
      <c r="Q58">
        <v>13</v>
      </c>
      <c r="R58" s="1"/>
    </row>
    <row r="59" spans="1:18" x14ac:dyDescent="0.3">
      <c r="A59" s="2" t="s">
        <v>259</v>
      </c>
      <c r="B59" t="s">
        <v>21</v>
      </c>
      <c r="C59" t="s">
        <v>22</v>
      </c>
      <c r="D59" t="s">
        <v>260</v>
      </c>
      <c r="E59" t="s">
        <v>261</v>
      </c>
      <c r="F59" t="s">
        <v>211</v>
      </c>
      <c r="G59" t="s">
        <v>262</v>
      </c>
      <c r="H59">
        <v>55</v>
      </c>
      <c r="I59">
        <v>10</v>
      </c>
      <c r="J59">
        <v>4</v>
      </c>
      <c r="K59">
        <v>0</v>
      </c>
      <c r="L59">
        <v>0</v>
      </c>
      <c r="N59">
        <v>24</v>
      </c>
      <c r="Q59">
        <v>12</v>
      </c>
      <c r="R59" s="1"/>
    </row>
    <row r="60" spans="1:18" x14ac:dyDescent="0.3">
      <c r="A60" t="s">
        <v>523</v>
      </c>
      <c r="D60" s="10"/>
      <c r="E60" t="s">
        <v>265</v>
      </c>
      <c r="F60" t="s">
        <v>25</v>
      </c>
      <c r="G60" t="s">
        <v>270</v>
      </c>
      <c r="H60">
        <v>25</v>
      </c>
      <c r="I60">
        <v>10</v>
      </c>
      <c r="J60">
        <v>2</v>
      </c>
      <c r="K60">
        <v>0</v>
      </c>
      <c r="L60">
        <v>0</v>
      </c>
      <c r="M60" s="3">
        <v>9</v>
      </c>
    </row>
    <row r="61" spans="1:18" hidden="1" x14ac:dyDescent="0.3">
      <c r="A61" s="16" t="s">
        <v>271</v>
      </c>
      <c r="B61" t="s">
        <v>53</v>
      </c>
      <c r="C61" t="s">
        <v>29</v>
      </c>
      <c r="D61" s="18" t="s">
        <v>272</v>
      </c>
      <c r="E61" s="10" t="s">
        <v>273</v>
      </c>
      <c r="F61" t="s">
        <v>56</v>
      </c>
      <c r="G61" t="s">
        <v>274</v>
      </c>
      <c r="H61">
        <v>24</v>
      </c>
      <c r="I61">
        <v>0</v>
      </c>
      <c r="J61">
        <v>0</v>
      </c>
      <c r="K61">
        <v>0</v>
      </c>
      <c r="L61">
        <v>0</v>
      </c>
    </row>
    <row r="62" spans="1:18" x14ac:dyDescent="0.3">
      <c r="A62" t="s">
        <v>275</v>
      </c>
      <c r="B62" t="s">
        <v>28</v>
      </c>
      <c r="C62" t="s">
        <v>22</v>
      </c>
      <c r="D62" t="s">
        <v>276</v>
      </c>
      <c r="E62" t="s">
        <v>277</v>
      </c>
      <c r="F62" t="s">
        <v>38</v>
      </c>
      <c r="G62" t="s">
        <v>353</v>
      </c>
      <c r="H62">
        <v>65</v>
      </c>
      <c r="I62">
        <v>0</v>
      </c>
      <c r="J62">
        <v>0</v>
      </c>
      <c r="K62">
        <v>0</v>
      </c>
      <c r="L62">
        <v>0</v>
      </c>
      <c r="N62">
        <v>21</v>
      </c>
      <c r="Q62">
        <v>16</v>
      </c>
      <c r="R62" s="1"/>
    </row>
    <row r="63" spans="1:18" hidden="1" x14ac:dyDescent="0.3">
      <c r="A63" s="16" t="s">
        <v>275</v>
      </c>
      <c r="B63" t="s">
        <v>28</v>
      </c>
      <c r="C63" t="s">
        <v>22</v>
      </c>
      <c r="D63" t="s">
        <v>276</v>
      </c>
      <c r="E63" t="s">
        <v>277</v>
      </c>
      <c r="F63" t="s">
        <v>279</v>
      </c>
      <c r="G63" t="s">
        <v>282</v>
      </c>
      <c r="H63">
        <v>100</v>
      </c>
      <c r="I63">
        <v>40</v>
      </c>
      <c r="J63">
        <v>20</v>
      </c>
      <c r="K63">
        <v>0</v>
      </c>
      <c r="L63">
        <v>0</v>
      </c>
      <c r="N63">
        <v>21</v>
      </c>
      <c r="Q63">
        <v>16</v>
      </c>
      <c r="R63" s="1"/>
    </row>
    <row r="64" spans="1:18" hidden="1" x14ac:dyDescent="0.3">
      <c r="A64" s="16" t="s">
        <v>275</v>
      </c>
      <c r="B64" t="s">
        <v>21</v>
      </c>
      <c r="C64" t="s">
        <v>22</v>
      </c>
      <c r="D64" t="s">
        <v>276</v>
      </c>
      <c r="E64" t="s">
        <v>277</v>
      </c>
      <c r="F64" t="s">
        <v>279</v>
      </c>
      <c r="G64" t="s">
        <v>282</v>
      </c>
      <c r="H64">
        <v>30</v>
      </c>
      <c r="I64">
        <v>12</v>
      </c>
      <c r="J64">
        <v>6</v>
      </c>
      <c r="K64">
        <v>0</v>
      </c>
      <c r="L64">
        <v>0</v>
      </c>
      <c r="M64" s="3">
        <v>10</v>
      </c>
      <c r="N64">
        <v>3</v>
      </c>
      <c r="Q64">
        <v>11</v>
      </c>
      <c r="R64" s="1"/>
    </row>
    <row r="65" spans="1:18" hidden="1" x14ac:dyDescent="0.3">
      <c r="A65" s="16" t="s">
        <v>283</v>
      </c>
      <c r="B65" t="s">
        <v>28</v>
      </c>
      <c r="C65" t="s">
        <v>22</v>
      </c>
      <c r="D65" s="18" t="s">
        <v>284</v>
      </c>
      <c r="E65" s="10" t="s">
        <v>285</v>
      </c>
      <c r="F65" t="s">
        <v>32</v>
      </c>
      <c r="G65" t="s">
        <v>286</v>
      </c>
      <c r="H65">
        <v>10</v>
      </c>
      <c r="I65">
        <v>4</v>
      </c>
      <c r="J65">
        <v>2</v>
      </c>
      <c r="K65">
        <v>0</v>
      </c>
      <c r="L65">
        <v>0</v>
      </c>
    </row>
    <row r="66" spans="1:18" hidden="1" x14ac:dyDescent="0.3">
      <c r="A66" s="16" t="s">
        <v>287</v>
      </c>
      <c r="B66" t="s">
        <v>21</v>
      </c>
      <c r="C66" t="s">
        <v>29</v>
      </c>
      <c r="D66" s="18" t="s">
        <v>288</v>
      </c>
      <c r="E66" s="10" t="s">
        <v>289</v>
      </c>
      <c r="F66" t="s">
        <v>25</v>
      </c>
      <c r="G66" t="s">
        <v>290</v>
      </c>
      <c r="H66">
        <v>20</v>
      </c>
      <c r="I66">
        <v>0</v>
      </c>
      <c r="J66">
        <v>0</v>
      </c>
      <c r="K66">
        <v>0</v>
      </c>
      <c r="L66">
        <v>0</v>
      </c>
    </row>
    <row r="67" spans="1:18" hidden="1" x14ac:dyDescent="0.3">
      <c r="A67" s="16" t="s">
        <v>298</v>
      </c>
      <c r="B67" t="s">
        <v>21</v>
      </c>
      <c r="C67" t="s">
        <v>22</v>
      </c>
      <c r="D67" t="s">
        <v>299</v>
      </c>
      <c r="E67" t="s">
        <v>300</v>
      </c>
      <c r="F67" t="s">
        <v>301</v>
      </c>
      <c r="G67" t="s">
        <v>302</v>
      </c>
      <c r="H67">
        <v>20</v>
      </c>
      <c r="I67">
        <v>0</v>
      </c>
      <c r="J67">
        <v>0</v>
      </c>
      <c r="K67">
        <v>0</v>
      </c>
      <c r="L67">
        <v>0</v>
      </c>
      <c r="N67">
        <v>7.5</v>
      </c>
      <c r="O67">
        <v>4.5</v>
      </c>
      <c r="P67">
        <v>7</v>
      </c>
      <c r="Q67">
        <v>2</v>
      </c>
      <c r="R67" s="1"/>
    </row>
    <row r="68" spans="1:18" hidden="1" x14ac:dyDescent="0.3">
      <c r="A68" s="16" t="s">
        <v>303</v>
      </c>
      <c r="B68" t="s">
        <v>21</v>
      </c>
      <c r="C68" t="s">
        <v>29</v>
      </c>
      <c r="D68" t="s">
        <v>304</v>
      </c>
      <c r="E68" t="s">
        <v>305</v>
      </c>
      <c r="F68" t="s">
        <v>306</v>
      </c>
      <c r="G68" t="s">
        <v>307</v>
      </c>
      <c r="H68">
        <v>30</v>
      </c>
      <c r="I68">
        <v>12</v>
      </c>
      <c r="J68">
        <v>6</v>
      </c>
      <c r="K68">
        <v>0</v>
      </c>
      <c r="L68">
        <v>4</v>
      </c>
      <c r="N68">
        <v>12</v>
      </c>
      <c r="O68">
        <v>7</v>
      </c>
      <c r="P68">
        <v>11.5</v>
      </c>
      <c r="Q68">
        <v>7</v>
      </c>
      <c r="R68" s="1"/>
    </row>
    <row r="69" spans="1:18" x14ac:dyDescent="0.3">
      <c r="A69" t="s">
        <v>312</v>
      </c>
      <c r="B69" t="s">
        <v>21</v>
      </c>
      <c r="C69" t="s">
        <v>22</v>
      </c>
      <c r="D69" t="s">
        <v>313</v>
      </c>
      <c r="E69" t="s">
        <v>314</v>
      </c>
      <c r="F69" t="s">
        <v>315</v>
      </c>
      <c r="G69" t="s">
        <v>316</v>
      </c>
      <c r="H69">
        <v>30</v>
      </c>
      <c r="I69">
        <v>10</v>
      </c>
      <c r="J69">
        <v>4</v>
      </c>
      <c r="K69">
        <v>6</v>
      </c>
      <c r="L69">
        <v>1</v>
      </c>
      <c r="N69" s="1">
        <v>4.5</v>
      </c>
      <c r="O69" s="1"/>
      <c r="P69" s="1"/>
      <c r="Q69" s="1">
        <v>13.75</v>
      </c>
      <c r="R69" s="1"/>
    </row>
    <row r="70" spans="1:18" x14ac:dyDescent="0.3">
      <c r="A70" t="s">
        <v>317</v>
      </c>
      <c r="B70" t="s">
        <v>21</v>
      </c>
      <c r="C70" t="s">
        <v>22</v>
      </c>
      <c r="D70" t="s">
        <v>318</v>
      </c>
      <c r="E70" t="s">
        <v>319</v>
      </c>
      <c r="F70" t="s">
        <v>320</v>
      </c>
      <c r="G70" t="s">
        <v>321</v>
      </c>
      <c r="H70">
        <v>28</v>
      </c>
      <c r="I70">
        <v>28</v>
      </c>
      <c r="J70">
        <v>10</v>
      </c>
      <c r="K70">
        <v>4</v>
      </c>
      <c r="L70">
        <v>3</v>
      </c>
      <c r="N70">
        <v>17</v>
      </c>
      <c r="Q70">
        <v>9</v>
      </c>
      <c r="R70" s="1"/>
    </row>
    <row r="71" spans="1:18" x14ac:dyDescent="0.3">
      <c r="A71" t="s">
        <v>317</v>
      </c>
      <c r="B71" t="s">
        <v>21</v>
      </c>
      <c r="C71" t="s">
        <v>22</v>
      </c>
      <c r="D71" t="s">
        <v>318</v>
      </c>
      <c r="E71" t="s">
        <v>319</v>
      </c>
      <c r="F71" t="s">
        <v>320</v>
      </c>
      <c r="G71" t="s">
        <v>242</v>
      </c>
      <c r="H71">
        <v>40</v>
      </c>
      <c r="I71">
        <v>17</v>
      </c>
      <c r="J71">
        <v>3</v>
      </c>
      <c r="K71">
        <v>0</v>
      </c>
      <c r="L71">
        <v>0</v>
      </c>
      <c r="N71">
        <v>33</v>
      </c>
      <c r="Q71">
        <v>25</v>
      </c>
      <c r="R71" s="1"/>
    </row>
    <row r="72" spans="1:18" hidden="1" x14ac:dyDescent="0.3">
      <c r="A72" s="7" t="s">
        <v>322</v>
      </c>
      <c r="B72" t="s">
        <v>21</v>
      </c>
      <c r="D72" s="10" t="s">
        <v>323</v>
      </c>
      <c r="E72" s="10" t="s">
        <v>324</v>
      </c>
      <c r="F72" t="s">
        <v>32</v>
      </c>
      <c r="G72" t="s">
        <v>518</v>
      </c>
      <c r="H72">
        <v>12</v>
      </c>
      <c r="I72">
        <v>4</v>
      </c>
      <c r="J72">
        <v>2</v>
      </c>
      <c r="K72">
        <v>0</v>
      </c>
      <c r="L72">
        <v>0</v>
      </c>
      <c r="N72">
        <v>18</v>
      </c>
      <c r="O72">
        <v>10</v>
      </c>
      <c r="P72">
        <v>17.5</v>
      </c>
      <c r="Q72">
        <v>10.5</v>
      </c>
    </row>
    <row r="73" spans="1:18" hidden="1" x14ac:dyDescent="0.3">
      <c r="A73" s="7" t="s">
        <v>322</v>
      </c>
      <c r="B73" t="s">
        <v>21</v>
      </c>
      <c r="D73" s="10" t="s">
        <v>323</v>
      </c>
      <c r="E73" s="10" t="s">
        <v>324</v>
      </c>
      <c r="F73" t="s">
        <v>32</v>
      </c>
      <c r="G73" t="s">
        <v>86</v>
      </c>
      <c r="H73">
        <v>31</v>
      </c>
      <c r="I73">
        <v>14</v>
      </c>
      <c r="J73">
        <v>2</v>
      </c>
      <c r="K73">
        <v>0</v>
      </c>
      <c r="L73">
        <v>0</v>
      </c>
      <c r="N73">
        <v>23</v>
      </c>
      <c r="O73">
        <v>16</v>
      </c>
      <c r="P73">
        <v>22.5</v>
      </c>
      <c r="Q73">
        <v>17.5</v>
      </c>
    </row>
    <row r="74" spans="1:18" hidden="1" x14ac:dyDescent="0.3">
      <c r="A74" s="16" t="s">
        <v>330</v>
      </c>
      <c r="B74" t="s">
        <v>53</v>
      </c>
      <c r="C74" t="s">
        <v>29</v>
      </c>
      <c r="D74" t="s">
        <v>331</v>
      </c>
      <c r="E74" t="s">
        <v>332</v>
      </c>
      <c r="F74" t="s">
        <v>56</v>
      </c>
      <c r="G74" t="s">
        <v>519</v>
      </c>
      <c r="H74">
        <v>15</v>
      </c>
      <c r="I74">
        <v>0</v>
      </c>
      <c r="J74">
        <v>0</v>
      </c>
      <c r="K74">
        <v>0</v>
      </c>
      <c r="L74">
        <v>0</v>
      </c>
      <c r="N74">
        <v>5.5</v>
      </c>
      <c r="O74">
        <v>9</v>
      </c>
      <c r="P74">
        <v>1</v>
      </c>
      <c r="Q74">
        <v>6</v>
      </c>
    </row>
    <row r="75" spans="1:18" hidden="1" x14ac:dyDescent="0.3">
      <c r="A75" s="16" t="s">
        <v>330</v>
      </c>
      <c r="B75" t="s">
        <v>53</v>
      </c>
      <c r="C75" t="s">
        <v>29</v>
      </c>
      <c r="D75" t="s">
        <v>331</v>
      </c>
      <c r="E75" t="s">
        <v>332</v>
      </c>
      <c r="F75" t="s">
        <v>56</v>
      </c>
      <c r="G75" t="s">
        <v>333</v>
      </c>
      <c r="H75">
        <v>25</v>
      </c>
      <c r="I75">
        <v>0</v>
      </c>
      <c r="J75">
        <v>0</v>
      </c>
      <c r="K75">
        <v>0</v>
      </c>
      <c r="L75">
        <v>0</v>
      </c>
      <c r="N75">
        <v>6.5</v>
      </c>
      <c r="O75">
        <v>6.5</v>
      </c>
      <c r="P75">
        <v>2</v>
      </c>
      <c r="Q75">
        <v>4</v>
      </c>
      <c r="R75" s="1"/>
    </row>
    <row r="76" spans="1:18" hidden="1" x14ac:dyDescent="0.3">
      <c r="A76" s="16" t="s">
        <v>330</v>
      </c>
      <c r="B76" t="s">
        <v>53</v>
      </c>
      <c r="C76" t="s">
        <v>29</v>
      </c>
      <c r="D76" t="s">
        <v>331</v>
      </c>
      <c r="E76" t="s">
        <v>332</v>
      </c>
      <c r="F76" t="s">
        <v>56</v>
      </c>
      <c r="G76" t="s">
        <v>26</v>
      </c>
      <c r="H76">
        <v>25</v>
      </c>
      <c r="I76">
        <v>0</v>
      </c>
      <c r="J76">
        <v>0</v>
      </c>
      <c r="K76">
        <v>0</v>
      </c>
      <c r="L76">
        <v>0</v>
      </c>
      <c r="N76">
        <v>7.5</v>
      </c>
      <c r="O76">
        <v>2</v>
      </c>
      <c r="P76">
        <v>9.5</v>
      </c>
      <c r="Q76">
        <v>3</v>
      </c>
      <c r="R76" s="1"/>
    </row>
    <row r="77" spans="1:18" hidden="1" x14ac:dyDescent="0.3">
      <c r="A77" s="16" t="s">
        <v>330</v>
      </c>
      <c r="B77" t="s">
        <v>53</v>
      </c>
      <c r="C77" t="s">
        <v>29</v>
      </c>
      <c r="D77" t="s">
        <v>331</v>
      </c>
      <c r="E77" t="s">
        <v>332</v>
      </c>
      <c r="F77" t="s">
        <v>56</v>
      </c>
      <c r="G77" t="s">
        <v>268</v>
      </c>
      <c r="H77">
        <v>25</v>
      </c>
      <c r="I77">
        <v>0</v>
      </c>
      <c r="J77">
        <v>0</v>
      </c>
      <c r="K77">
        <v>0</v>
      </c>
      <c r="L77">
        <v>0</v>
      </c>
      <c r="N77">
        <v>7.5</v>
      </c>
      <c r="O77">
        <v>4</v>
      </c>
      <c r="P77">
        <v>9.5</v>
      </c>
      <c r="Q77">
        <v>3</v>
      </c>
      <c r="R77" s="1"/>
    </row>
    <row r="78" spans="1:18" hidden="1" x14ac:dyDescent="0.3">
      <c r="A78" s="16" t="s">
        <v>330</v>
      </c>
      <c r="B78" t="s">
        <v>53</v>
      </c>
      <c r="C78" t="s">
        <v>29</v>
      </c>
      <c r="D78" t="s">
        <v>331</v>
      </c>
      <c r="E78" t="s">
        <v>332</v>
      </c>
      <c r="F78" t="s">
        <v>56</v>
      </c>
      <c r="G78" t="s">
        <v>336</v>
      </c>
      <c r="H78">
        <v>25</v>
      </c>
      <c r="I78">
        <v>0</v>
      </c>
      <c r="J78">
        <v>0</v>
      </c>
      <c r="K78">
        <v>0</v>
      </c>
      <c r="L78">
        <v>0</v>
      </c>
      <c r="N78">
        <v>7.5</v>
      </c>
      <c r="O78">
        <v>4</v>
      </c>
      <c r="P78">
        <v>9.5</v>
      </c>
      <c r="Q78">
        <v>3</v>
      </c>
      <c r="R78" s="1"/>
    </row>
    <row r="79" spans="1:18" hidden="1" x14ac:dyDescent="0.3">
      <c r="A79" s="7" t="s">
        <v>337</v>
      </c>
      <c r="D79" s="18"/>
      <c r="E79" s="10"/>
    </row>
    <row r="80" spans="1:18" hidden="1" x14ac:dyDescent="0.3">
      <c r="A80" s="16" t="s">
        <v>342</v>
      </c>
      <c r="B80" t="s">
        <v>53</v>
      </c>
      <c r="C80" t="s">
        <v>29</v>
      </c>
      <c r="D80" s="18" t="s">
        <v>343</v>
      </c>
      <c r="E80" s="10" t="s">
        <v>344</v>
      </c>
      <c r="F80" t="s">
        <v>56</v>
      </c>
      <c r="G80" t="s">
        <v>321</v>
      </c>
      <c r="H80">
        <v>150</v>
      </c>
      <c r="I80">
        <v>0</v>
      </c>
      <c r="J80">
        <v>0</v>
      </c>
      <c r="K80">
        <v>0</v>
      </c>
      <c r="L80">
        <v>0</v>
      </c>
    </row>
    <row r="81" spans="1:18" hidden="1" x14ac:dyDescent="0.3">
      <c r="A81" s="16" t="s">
        <v>345</v>
      </c>
      <c r="B81" t="s">
        <v>53</v>
      </c>
      <c r="C81" t="s">
        <v>22</v>
      </c>
      <c r="D81" t="s">
        <v>346</v>
      </c>
      <c r="E81" t="s">
        <v>347</v>
      </c>
      <c r="F81" t="s">
        <v>56</v>
      </c>
      <c r="G81" t="s">
        <v>348</v>
      </c>
      <c r="H81">
        <v>10</v>
      </c>
      <c r="I81">
        <v>2</v>
      </c>
      <c r="J81">
        <v>0</v>
      </c>
      <c r="K81">
        <v>0</v>
      </c>
      <c r="L81">
        <v>0</v>
      </c>
      <c r="N81">
        <v>7</v>
      </c>
      <c r="O81">
        <v>3.5</v>
      </c>
      <c r="P81">
        <v>6.5</v>
      </c>
      <c r="Q81">
        <v>1</v>
      </c>
      <c r="R81" s="1"/>
    </row>
    <row r="82" spans="1:18" hidden="1" x14ac:dyDescent="0.3">
      <c r="A82" s="7" t="s">
        <v>349</v>
      </c>
      <c r="B82" t="s">
        <v>21</v>
      </c>
      <c r="C82" t="s">
        <v>29</v>
      </c>
      <c r="D82" t="s">
        <v>350</v>
      </c>
      <c r="E82" t="s">
        <v>351</v>
      </c>
      <c r="F82" t="s">
        <v>92</v>
      </c>
      <c r="G82" t="s">
        <v>352</v>
      </c>
      <c r="H82">
        <v>50</v>
      </c>
      <c r="I82">
        <v>10</v>
      </c>
      <c r="J82">
        <v>4</v>
      </c>
      <c r="K82">
        <v>0</v>
      </c>
      <c r="L82">
        <v>0</v>
      </c>
      <c r="N82">
        <v>13</v>
      </c>
      <c r="Q82">
        <v>8</v>
      </c>
      <c r="R82" s="1"/>
    </row>
    <row r="83" spans="1:18" hidden="1" x14ac:dyDescent="0.3">
      <c r="A83" s="7" t="s">
        <v>349</v>
      </c>
      <c r="B83" t="s">
        <v>21</v>
      </c>
      <c r="C83" t="s">
        <v>29</v>
      </c>
      <c r="D83" t="s">
        <v>350</v>
      </c>
      <c r="E83" t="s">
        <v>351</v>
      </c>
      <c r="F83" t="s">
        <v>92</v>
      </c>
      <c r="G83" t="s">
        <v>254</v>
      </c>
      <c r="H83">
        <v>30</v>
      </c>
      <c r="I83">
        <v>6</v>
      </c>
      <c r="J83">
        <v>0</v>
      </c>
      <c r="K83">
        <v>0</v>
      </c>
      <c r="L83">
        <v>0</v>
      </c>
      <c r="N83">
        <v>19</v>
      </c>
      <c r="Q83">
        <v>14</v>
      </c>
      <c r="R83" s="1"/>
    </row>
    <row r="84" spans="1:18" hidden="1" x14ac:dyDescent="0.3">
      <c r="A84" s="7" t="s">
        <v>349</v>
      </c>
      <c r="B84" t="s">
        <v>21</v>
      </c>
      <c r="C84" t="s">
        <v>29</v>
      </c>
      <c r="D84" t="s">
        <v>350</v>
      </c>
      <c r="E84" t="s">
        <v>351</v>
      </c>
      <c r="F84" t="s">
        <v>92</v>
      </c>
      <c r="G84" t="s">
        <v>353</v>
      </c>
      <c r="H84">
        <v>30</v>
      </c>
      <c r="I84">
        <v>8</v>
      </c>
      <c r="J84">
        <v>3</v>
      </c>
      <c r="K84">
        <v>0</v>
      </c>
      <c r="L84">
        <v>0</v>
      </c>
      <c r="N84">
        <v>21</v>
      </c>
      <c r="Q84">
        <v>16</v>
      </c>
      <c r="R84" s="1"/>
    </row>
    <row r="85" spans="1:18" hidden="1" x14ac:dyDescent="0.3">
      <c r="A85" s="7" t="s">
        <v>349</v>
      </c>
      <c r="B85" t="s">
        <v>21</v>
      </c>
      <c r="C85" t="s">
        <v>29</v>
      </c>
      <c r="D85" t="s">
        <v>350</v>
      </c>
      <c r="E85" t="s">
        <v>351</v>
      </c>
      <c r="F85" t="s">
        <v>92</v>
      </c>
      <c r="G85" t="s">
        <v>354</v>
      </c>
      <c r="H85">
        <v>32</v>
      </c>
      <c r="I85">
        <v>7</v>
      </c>
      <c r="J85">
        <v>3</v>
      </c>
      <c r="K85">
        <v>0</v>
      </c>
      <c r="L85">
        <v>0</v>
      </c>
      <c r="N85">
        <v>29</v>
      </c>
      <c r="Q85">
        <v>20</v>
      </c>
      <c r="R85" s="1"/>
    </row>
    <row r="86" spans="1:18" hidden="1" x14ac:dyDescent="0.3">
      <c r="A86" s="7" t="s">
        <v>349</v>
      </c>
      <c r="B86" t="s">
        <v>21</v>
      </c>
      <c r="C86" t="s">
        <v>29</v>
      </c>
      <c r="D86" t="s">
        <v>350</v>
      </c>
      <c r="E86" t="s">
        <v>351</v>
      </c>
      <c r="F86" t="s">
        <v>92</v>
      </c>
      <c r="G86" t="s">
        <v>86</v>
      </c>
      <c r="H86">
        <v>26</v>
      </c>
      <c r="I86">
        <v>10</v>
      </c>
      <c r="J86">
        <v>2</v>
      </c>
      <c r="K86">
        <v>0</v>
      </c>
      <c r="L86">
        <v>0</v>
      </c>
      <c r="N86">
        <v>33</v>
      </c>
      <c r="Q86">
        <v>24</v>
      </c>
      <c r="R86" s="1"/>
    </row>
    <row r="87" spans="1:18" x14ac:dyDescent="0.3">
      <c r="A87" t="s">
        <v>355</v>
      </c>
      <c r="B87" t="s">
        <v>53</v>
      </c>
      <c r="C87" t="s">
        <v>29</v>
      </c>
      <c r="D87" t="s">
        <v>356</v>
      </c>
      <c r="E87" t="s">
        <v>357</v>
      </c>
      <c r="F87" t="s">
        <v>56</v>
      </c>
      <c r="G87" t="s">
        <v>358</v>
      </c>
      <c r="H87">
        <v>6</v>
      </c>
      <c r="I87">
        <v>0</v>
      </c>
      <c r="J87">
        <v>0</v>
      </c>
      <c r="K87">
        <v>0</v>
      </c>
      <c r="L87">
        <v>0</v>
      </c>
      <c r="N87">
        <v>6</v>
      </c>
      <c r="Q87">
        <v>16</v>
      </c>
      <c r="R87" s="1"/>
    </row>
    <row r="88" spans="1:18" x14ac:dyDescent="0.3">
      <c r="A88" t="s">
        <v>359</v>
      </c>
      <c r="B88" t="s">
        <v>21</v>
      </c>
      <c r="C88" t="s">
        <v>22</v>
      </c>
      <c r="D88" t="s">
        <v>360</v>
      </c>
      <c r="E88" t="s">
        <v>361</v>
      </c>
      <c r="F88" t="s">
        <v>142</v>
      </c>
      <c r="G88" t="s">
        <v>362</v>
      </c>
      <c r="H88">
        <v>22</v>
      </c>
      <c r="I88">
        <v>7</v>
      </c>
      <c r="J88">
        <v>3</v>
      </c>
      <c r="K88">
        <v>5</v>
      </c>
      <c r="L88">
        <v>0</v>
      </c>
      <c r="N88">
        <v>6.5</v>
      </c>
      <c r="O88">
        <v>6</v>
      </c>
      <c r="P88">
        <v>3</v>
      </c>
      <c r="Q88">
        <v>4</v>
      </c>
      <c r="R88" s="1"/>
    </row>
    <row r="89" spans="1:18" hidden="1" x14ac:dyDescent="0.3">
      <c r="A89" s="16" t="s">
        <v>363</v>
      </c>
      <c r="B89" t="s">
        <v>28</v>
      </c>
      <c r="C89" t="s">
        <v>22</v>
      </c>
      <c r="D89" t="s">
        <v>364</v>
      </c>
      <c r="E89" t="s">
        <v>365</v>
      </c>
      <c r="F89" t="s">
        <v>92</v>
      </c>
      <c r="G89" t="s">
        <v>538</v>
      </c>
      <c r="H89">
        <v>12</v>
      </c>
      <c r="I89">
        <v>4</v>
      </c>
      <c r="J89">
        <v>2</v>
      </c>
      <c r="K89">
        <v>2</v>
      </c>
      <c r="L89">
        <v>0</v>
      </c>
      <c r="N89">
        <v>6</v>
      </c>
      <c r="Q89">
        <v>13</v>
      </c>
      <c r="R89" s="1"/>
    </row>
    <row r="90" spans="1:18" x14ac:dyDescent="0.3">
      <c r="A90" t="s">
        <v>367</v>
      </c>
      <c r="B90" t="s">
        <v>53</v>
      </c>
      <c r="C90" t="s">
        <v>29</v>
      </c>
      <c r="D90" t="s">
        <v>368</v>
      </c>
      <c r="E90" t="s">
        <v>369</v>
      </c>
      <c r="F90" t="s">
        <v>56</v>
      </c>
      <c r="G90" t="s">
        <v>370</v>
      </c>
      <c r="H90">
        <v>10</v>
      </c>
      <c r="I90">
        <v>0</v>
      </c>
      <c r="J90">
        <v>0</v>
      </c>
      <c r="K90">
        <v>0</v>
      </c>
      <c r="L90">
        <v>0</v>
      </c>
      <c r="N90">
        <v>11</v>
      </c>
      <c r="Q90">
        <v>0</v>
      </c>
      <c r="R90" s="1"/>
    </row>
    <row r="91" spans="1:18" hidden="1" x14ac:dyDescent="0.3">
      <c r="A91" s="7" t="s">
        <v>371</v>
      </c>
      <c r="B91" t="s">
        <v>21</v>
      </c>
      <c r="C91" t="s">
        <v>22</v>
      </c>
      <c r="D91" t="s">
        <v>372</v>
      </c>
      <c r="E91" t="s">
        <v>373</v>
      </c>
      <c r="F91" t="s">
        <v>374</v>
      </c>
      <c r="G91" t="s">
        <v>192</v>
      </c>
      <c r="H91">
        <v>25</v>
      </c>
      <c r="I91">
        <v>8</v>
      </c>
      <c r="J91">
        <v>4</v>
      </c>
      <c r="K91">
        <v>0</v>
      </c>
      <c r="L91">
        <v>0</v>
      </c>
      <c r="M91" s="3">
        <v>7</v>
      </c>
      <c r="N91">
        <v>14</v>
      </c>
      <c r="Q91">
        <v>8</v>
      </c>
      <c r="R91" s="1"/>
    </row>
    <row r="92" spans="1:18" x14ac:dyDescent="0.3">
      <c r="A92" t="s">
        <v>375</v>
      </c>
      <c r="B92" t="s">
        <v>21</v>
      </c>
      <c r="C92" t="s">
        <v>22</v>
      </c>
      <c r="D92" t="s">
        <v>376</v>
      </c>
      <c r="E92" t="s">
        <v>377</v>
      </c>
      <c r="F92" t="s">
        <v>137</v>
      </c>
      <c r="G92" t="s">
        <v>378</v>
      </c>
      <c r="H92">
        <v>120</v>
      </c>
      <c r="I92">
        <v>38</v>
      </c>
      <c r="J92">
        <v>16</v>
      </c>
      <c r="K92">
        <v>0</v>
      </c>
      <c r="L92">
        <v>4</v>
      </c>
      <c r="N92">
        <v>15</v>
      </c>
      <c r="Q92">
        <v>10</v>
      </c>
      <c r="R92" s="1"/>
    </row>
    <row r="93" spans="1:18" x14ac:dyDescent="0.3">
      <c r="A93" t="s">
        <v>375</v>
      </c>
      <c r="B93" t="s">
        <v>21</v>
      </c>
      <c r="C93" t="s">
        <v>22</v>
      </c>
      <c r="D93" t="s">
        <v>376</v>
      </c>
      <c r="E93" t="s">
        <v>377</v>
      </c>
      <c r="F93" t="s">
        <v>137</v>
      </c>
      <c r="G93" t="s">
        <v>379</v>
      </c>
      <c r="H93">
        <v>8</v>
      </c>
      <c r="I93">
        <v>2</v>
      </c>
      <c r="J93">
        <v>2</v>
      </c>
      <c r="K93">
        <v>2</v>
      </c>
      <c r="L93">
        <v>2</v>
      </c>
      <c r="N93">
        <v>19</v>
      </c>
      <c r="Q93">
        <v>20</v>
      </c>
      <c r="R93" s="1"/>
    </row>
    <row r="94" spans="1:18" x14ac:dyDescent="0.3">
      <c r="A94" s="2" t="s">
        <v>375</v>
      </c>
      <c r="B94" t="s">
        <v>21</v>
      </c>
      <c r="C94" t="s">
        <v>22</v>
      </c>
      <c r="D94" t="s">
        <v>376</v>
      </c>
      <c r="E94" t="s">
        <v>377</v>
      </c>
      <c r="F94" t="s">
        <v>137</v>
      </c>
      <c r="G94" t="s">
        <v>380</v>
      </c>
      <c r="H94">
        <v>8</v>
      </c>
      <c r="I94">
        <v>3</v>
      </c>
      <c r="J94">
        <v>1</v>
      </c>
      <c r="K94">
        <v>2</v>
      </c>
      <c r="L94">
        <v>0</v>
      </c>
      <c r="N94">
        <v>23</v>
      </c>
      <c r="Q94">
        <v>13</v>
      </c>
      <c r="R94" s="1"/>
    </row>
    <row r="95" spans="1:18" x14ac:dyDescent="0.3">
      <c r="A95" s="2" t="s">
        <v>381</v>
      </c>
      <c r="B95" t="s">
        <v>21</v>
      </c>
      <c r="C95" t="s">
        <v>22</v>
      </c>
      <c r="D95" t="s">
        <v>382</v>
      </c>
      <c r="E95" t="s">
        <v>383</v>
      </c>
      <c r="F95" t="s">
        <v>142</v>
      </c>
      <c r="G95" t="s">
        <v>225</v>
      </c>
      <c r="H95">
        <v>33</v>
      </c>
      <c r="I95">
        <v>10</v>
      </c>
      <c r="J95">
        <v>5</v>
      </c>
      <c r="K95">
        <v>3</v>
      </c>
      <c r="L95">
        <v>1</v>
      </c>
      <c r="M95" s="3">
        <v>10</v>
      </c>
      <c r="N95">
        <v>20</v>
      </c>
      <c r="Q95">
        <v>9</v>
      </c>
      <c r="R95" s="1"/>
    </row>
    <row r="96" spans="1:18" hidden="1" x14ac:dyDescent="0.3">
      <c r="A96" s="16" t="s">
        <v>384</v>
      </c>
      <c r="B96" t="s">
        <v>53</v>
      </c>
      <c r="C96" t="s">
        <v>22</v>
      </c>
      <c r="D96" t="s">
        <v>385</v>
      </c>
      <c r="E96" t="s">
        <v>386</v>
      </c>
      <c r="F96" t="s">
        <v>56</v>
      </c>
      <c r="G96" t="s">
        <v>387</v>
      </c>
      <c r="H96">
        <v>24</v>
      </c>
      <c r="I96">
        <v>0</v>
      </c>
      <c r="J96">
        <v>0</v>
      </c>
      <c r="K96">
        <v>0</v>
      </c>
      <c r="L96">
        <v>0</v>
      </c>
      <c r="N96">
        <v>6</v>
      </c>
      <c r="Q96">
        <v>13</v>
      </c>
      <c r="R96" s="1"/>
    </row>
    <row r="97" spans="1:18" hidden="1" x14ac:dyDescent="0.3">
      <c r="A97" s="7" t="s">
        <v>388</v>
      </c>
      <c r="B97" t="s">
        <v>21</v>
      </c>
      <c r="C97" t="s">
        <v>29</v>
      </c>
      <c r="D97" t="s">
        <v>389</v>
      </c>
      <c r="E97" t="s">
        <v>390</v>
      </c>
      <c r="F97" t="s">
        <v>25</v>
      </c>
      <c r="G97" t="s">
        <v>226</v>
      </c>
      <c r="H97">
        <v>200</v>
      </c>
      <c r="I97">
        <v>73</v>
      </c>
      <c r="J97">
        <v>28</v>
      </c>
      <c r="K97">
        <v>0</v>
      </c>
      <c r="L97">
        <v>10</v>
      </c>
      <c r="N97">
        <v>9</v>
      </c>
      <c r="Q97">
        <v>3</v>
      </c>
      <c r="R97" s="1"/>
    </row>
    <row r="98" spans="1:18" hidden="1" x14ac:dyDescent="0.3">
      <c r="A98" s="16" t="s">
        <v>392</v>
      </c>
      <c r="B98" t="s">
        <v>21</v>
      </c>
      <c r="D98" s="18" t="s">
        <v>393</v>
      </c>
      <c r="E98" s="10" t="s">
        <v>394</v>
      </c>
      <c r="F98" t="s">
        <v>32</v>
      </c>
      <c r="G98" t="s">
        <v>395</v>
      </c>
      <c r="H98">
        <v>6</v>
      </c>
      <c r="I98">
        <v>2</v>
      </c>
      <c r="J98">
        <v>1</v>
      </c>
      <c r="K98">
        <v>2</v>
      </c>
      <c r="L98">
        <v>0</v>
      </c>
    </row>
    <row r="99" spans="1:18" hidden="1" x14ac:dyDescent="0.3">
      <c r="A99" s="19" t="s">
        <v>396</v>
      </c>
      <c r="B99" t="s">
        <v>28</v>
      </c>
      <c r="C99" t="s">
        <v>22</v>
      </c>
      <c r="D99" s="18" t="s">
        <v>397</v>
      </c>
      <c r="E99" s="10" t="s">
        <v>398</v>
      </c>
      <c r="F99" t="s">
        <v>279</v>
      </c>
      <c r="G99" t="s">
        <v>399</v>
      </c>
      <c r="H99">
        <v>21</v>
      </c>
      <c r="I99">
        <v>8</v>
      </c>
      <c r="J99">
        <v>4</v>
      </c>
      <c r="K99">
        <v>0</v>
      </c>
      <c r="L99">
        <v>0</v>
      </c>
    </row>
    <row r="100" spans="1:18" hidden="1" x14ac:dyDescent="0.3">
      <c r="A100" s="19" t="s">
        <v>396</v>
      </c>
      <c r="B100" t="s">
        <v>28</v>
      </c>
      <c r="C100" t="s">
        <v>22</v>
      </c>
      <c r="D100" s="18" t="s">
        <v>397</v>
      </c>
      <c r="E100" s="10" t="s">
        <v>398</v>
      </c>
      <c r="F100" t="s">
        <v>279</v>
      </c>
      <c r="G100" t="s">
        <v>400</v>
      </c>
      <c r="H100">
        <v>9</v>
      </c>
      <c r="I100">
        <v>4</v>
      </c>
      <c r="J100">
        <v>2</v>
      </c>
      <c r="K100">
        <v>0</v>
      </c>
      <c r="L100">
        <v>0</v>
      </c>
    </row>
    <row r="101" spans="1:18" hidden="1" x14ac:dyDescent="0.3">
      <c r="A101" s="7" t="s">
        <v>512</v>
      </c>
      <c r="D101" s="10"/>
    </row>
    <row r="102" spans="1:18" x14ac:dyDescent="0.3">
      <c r="A102" t="s">
        <v>401</v>
      </c>
      <c r="B102" t="s">
        <v>21</v>
      </c>
      <c r="C102" t="s">
        <v>22</v>
      </c>
      <c r="D102" t="s">
        <v>402</v>
      </c>
      <c r="E102" t="s">
        <v>403</v>
      </c>
      <c r="F102" t="s">
        <v>266</v>
      </c>
      <c r="G102" t="s">
        <v>268</v>
      </c>
      <c r="H102">
        <v>22</v>
      </c>
      <c r="I102">
        <v>8</v>
      </c>
      <c r="J102">
        <v>4</v>
      </c>
      <c r="K102">
        <v>5</v>
      </c>
      <c r="L102">
        <v>0</v>
      </c>
      <c r="N102">
        <v>10</v>
      </c>
      <c r="Q102">
        <v>4</v>
      </c>
      <c r="R102" s="1"/>
    </row>
    <row r="103" spans="1:18" x14ac:dyDescent="0.3">
      <c r="A103" t="s">
        <v>405</v>
      </c>
      <c r="B103" t="s">
        <v>21</v>
      </c>
      <c r="D103" t="s">
        <v>406</v>
      </c>
      <c r="E103" t="s">
        <v>407</v>
      </c>
      <c r="F103" t="s">
        <v>408</v>
      </c>
      <c r="G103" t="s">
        <v>409</v>
      </c>
      <c r="H103">
        <v>30</v>
      </c>
      <c r="I103">
        <v>10</v>
      </c>
      <c r="J103">
        <v>5</v>
      </c>
      <c r="K103">
        <v>0</v>
      </c>
      <c r="L103">
        <v>0</v>
      </c>
      <c r="N103">
        <v>10</v>
      </c>
      <c r="Q103">
        <v>0</v>
      </c>
      <c r="R103" s="1"/>
    </row>
    <row r="104" spans="1:18" x14ac:dyDescent="0.3">
      <c r="A104" t="s">
        <v>405</v>
      </c>
      <c r="B104" t="s">
        <v>21</v>
      </c>
      <c r="D104" t="s">
        <v>406</v>
      </c>
      <c r="E104" t="s">
        <v>407</v>
      </c>
      <c r="F104" t="s">
        <v>408</v>
      </c>
      <c r="G104" t="s">
        <v>410</v>
      </c>
      <c r="H104">
        <v>40</v>
      </c>
      <c r="I104">
        <v>10</v>
      </c>
      <c r="J104">
        <v>10</v>
      </c>
      <c r="K104">
        <v>0</v>
      </c>
      <c r="L104">
        <v>0</v>
      </c>
      <c r="N104">
        <v>13</v>
      </c>
      <c r="Q104">
        <v>12</v>
      </c>
      <c r="R104" s="1"/>
    </row>
    <row r="105" spans="1:18" x14ac:dyDescent="0.3">
      <c r="A105" t="s">
        <v>405</v>
      </c>
      <c r="B105" t="s">
        <v>21</v>
      </c>
      <c r="D105" t="s">
        <v>406</v>
      </c>
      <c r="E105" t="s">
        <v>407</v>
      </c>
      <c r="F105" t="s">
        <v>408</v>
      </c>
      <c r="G105" t="s">
        <v>192</v>
      </c>
      <c r="H105">
        <v>200</v>
      </c>
      <c r="I105">
        <v>70</v>
      </c>
      <c r="J105">
        <v>30</v>
      </c>
      <c r="K105">
        <v>0</v>
      </c>
      <c r="L105">
        <v>0</v>
      </c>
      <c r="N105">
        <v>14</v>
      </c>
      <c r="Q105">
        <v>8</v>
      </c>
      <c r="R105" s="1"/>
    </row>
    <row r="106" spans="1:18" x14ac:dyDescent="0.3">
      <c r="A106" t="s">
        <v>405</v>
      </c>
      <c r="B106" t="s">
        <v>21</v>
      </c>
      <c r="D106" t="s">
        <v>406</v>
      </c>
      <c r="E106" t="s">
        <v>407</v>
      </c>
      <c r="F106" t="s">
        <v>408</v>
      </c>
      <c r="G106" t="s">
        <v>411</v>
      </c>
      <c r="H106">
        <v>100</v>
      </c>
      <c r="I106">
        <v>30</v>
      </c>
      <c r="J106">
        <v>20</v>
      </c>
      <c r="K106">
        <v>0</v>
      </c>
      <c r="L106">
        <v>0</v>
      </c>
      <c r="N106">
        <v>14</v>
      </c>
      <c r="Q106">
        <v>10</v>
      </c>
      <c r="R106" s="1"/>
    </row>
    <row r="107" spans="1:18" x14ac:dyDescent="0.3">
      <c r="A107" t="s">
        <v>405</v>
      </c>
      <c r="B107" t="s">
        <v>21</v>
      </c>
      <c r="D107" t="s">
        <v>406</v>
      </c>
      <c r="E107" t="s">
        <v>407</v>
      </c>
      <c r="F107" t="s">
        <v>408</v>
      </c>
      <c r="G107" t="s">
        <v>321</v>
      </c>
      <c r="H107">
        <v>40</v>
      </c>
      <c r="I107">
        <v>20</v>
      </c>
      <c r="J107">
        <v>20</v>
      </c>
      <c r="K107">
        <v>0</v>
      </c>
      <c r="L107">
        <v>0</v>
      </c>
      <c r="N107">
        <v>16</v>
      </c>
      <c r="Q107">
        <v>8</v>
      </c>
      <c r="R107" s="1"/>
    </row>
    <row r="108" spans="1:18" x14ac:dyDescent="0.3">
      <c r="A108" t="s">
        <v>405</v>
      </c>
      <c r="B108" t="s">
        <v>21</v>
      </c>
      <c r="D108" t="s">
        <v>406</v>
      </c>
      <c r="E108" t="s">
        <v>407</v>
      </c>
      <c r="F108" t="s">
        <v>408</v>
      </c>
      <c r="G108" t="s">
        <v>412</v>
      </c>
      <c r="H108">
        <v>20</v>
      </c>
      <c r="I108">
        <v>8</v>
      </c>
      <c r="J108">
        <v>2</v>
      </c>
      <c r="K108">
        <v>0</v>
      </c>
      <c r="L108">
        <v>0</v>
      </c>
      <c r="N108">
        <v>17</v>
      </c>
      <c r="Q108">
        <v>16</v>
      </c>
      <c r="R108" s="1"/>
    </row>
    <row r="109" spans="1:18" x14ac:dyDescent="0.3">
      <c r="A109" t="s">
        <v>417</v>
      </c>
      <c r="B109" t="s">
        <v>21</v>
      </c>
      <c r="C109" t="s">
        <v>22</v>
      </c>
      <c r="D109" t="s">
        <v>418</v>
      </c>
      <c r="E109" t="s">
        <v>419</v>
      </c>
      <c r="F109" t="s">
        <v>25</v>
      </c>
      <c r="G109" t="s">
        <v>420</v>
      </c>
      <c r="H109">
        <v>46</v>
      </c>
      <c r="I109">
        <v>14</v>
      </c>
      <c r="J109">
        <v>7</v>
      </c>
      <c r="K109">
        <v>10</v>
      </c>
      <c r="L109">
        <v>0</v>
      </c>
      <c r="N109">
        <v>20</v>
      </c>
      <c r="Q109">
        <v>14</v>
      </c>
      <c r="R109" s="1"/>
    </row>
    <row r="110" spans="1:18" hidden="1" x14ac:dyDescent="0.3">
      <c r="A110" s="16" t="s">
        <v>425</v>
      </c>
      <c r="B110" t="s">
        <v>28</v>
      </c>
      <c r="C110" t="s">
        <v>22</v>
      </c>
      <c r="D110" t="s">
        <v>426</v>
      </c>
      <c r="E110" t="s">
        <v>427</v>
      </c>
      <c r="F110" t="s">
        <v>25</v>
      </c>
      <c r="G110" t="s">
        <v>428</v>
      </c>
      <c r="H110">
        <v>13</v>
      </c>
      <c r="I110">
        <v>0</v>
      </c>
      <c r="J110">
        <v>0</v>
      </c>
      <c r="K110">
        <v>0</v>
      </c>
      <c r="L110">
        <v>0</v>
      </c>
      <c r="N110">
        <v>10</v>
      </c>
      <c r="Q110">
        <v>2</v>
      </c>
      <c r="R110" s="1"/>
    </row>
    <row r="111" spans="1:18" x14ac:dyDescent="0.3">
      <c r="A111" t="s">
        <v>429</v>
      </c>
      <c r="B111" t="s">
        <v>21</v>
      </c>
      <c r="D111" s="10"/>
      <c r="F111" t="s">
        <v>25</v>
      </c>
      <c r="G111" t="s">
        <v>430</v>
      </c>
      <c r="H111">
        <v>35</v>
      </c>
      <c r="I111">
        <v>12</v>
      </c>
      <c r="J111">
        <v>3</v>
      </c>
      <c r="K111">
        <v>5</v>
      </c>
      <c r="L111">
        <v>3</v>
      </c>
      <c r="M111" s="3">
        <v>10</v>
      </c>
    </row>
    <row r="112" spans="1:18" x14ac:dyDescent="0.3">
      <c r="A112" t="s">
        <v>431</v>
      </c>
      <c r="B112" t="s">
        <v>28</v>
      </c>
      <c r="C112" t="s">
        <v>29</v>
      </c>
      <c r="D112" t="s">
        <v>432</v>
      </c>
      <c r="E112" t="s">
        <v>433</v>
      </c>
      <c r="F112" t="s">
        <v>92</v>
      </c>
      <c r="G112" t="s">
        <v>434</v>
      </c>
      <c r="H112">
        <v>10</v>
      </c>
      <c r="I112">
        <v>4</v>
      </c>
      <c r="J112">
        <v>2</v>
      </c>
      <c r="K112">
        <v>4</v>
      </c>
      <c r="L112">
        <v>0</v>
      </c>
      <c r="N112">
        <v>14</v>
      </c>
      <c r="Q112">
        <v>21</v>
      </c>
      <c r="R112" s="1"/>
    </row>
    <row r="113" spans="1:18" hidden="1" x14ac:dyDescent="0.3">
      <c r="A113" s="16" t="s">
        <v>435</v>
      </c>
      <c r="B113" t="s">
        <v>28</v>
      </c>
      <c r="C113" t="s">
        <v>29</v>
      </c>
      <c r="D113" s="18" t="s">
        <v>436</v>
      </c>
      <c r="E113" s="10" t="s">
        <v>437</v>
      </c>
      <c r="F113" t="s">
        <v>32</v>
      </c>
      <c r="G113" t="s">
        <v>438</v>
      </c>
      <c r="H113">
        <v>19</v>
      </c>
      <c r="I113">
        <v>6</v>
      </c>
      <c r="J113">
        <v>3</v>
      </c>
      <c r="K113">
        <v>0</v>
      </c>
      <c r="L113">
        <v>2</v>
      </c>
    </row>
    <row r="114" spans="1:18" hidden="1" x14ac:dyDescent="0.3">
      <c r="A114" s="7" t="s">
        <v>439</v>
      </c>
      <c r="B114" t="s">
        <v>21</v>
      </c>
      <c r="D114" s="18" t="s">
        <v>440</v>
      </c>
      <c r="E114" s="10" t="s">
        <v>441</v>
      </c>
      <c r="F114" t="s">
        <v>279</v>
      </c>
      <c r="G114" t="s">
        <v>442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8" hidden="1" x14ac:dyDescent="0.3">
      <c r="A115" s="16" t="s">
        <v>446</v>
      </c>
      <c r="B115" t="s">
        <v>28</v>
      </c>
      <c r="D115" t="s">
        <v>447</v>
      </c>
      <c r="E115" t="s">
        <v>448</v>
      </c>
      <c r="F115" t="s">
        <v>38</v>
      </c>
      <c r="G115" t="s">
        <v>449</v>
      </c>
      <c r="H115">
        <v>10</v>
      </c>
      <c r="I115">
        <v>4</v>
      </c>
      <c r="J115">
        <v>2</v>
      </c>
      <c r="K115">
        <v>0</v>
      </c>
      <c r="L115">
        <v>2</v>
      </c>
      <c r="N115">
        <v>7</v>
      </c>
      <c r="Q115">
        <v>16</v>
      </c>
      <c r="R115" s="1"/>
    </row>
    <row r="116" spans="1:18" hidden="1" x14ac:dyDescent="0.3">
      <c r="A116" s="16" t="s">
        <v>450</v>
      </c>
      <c r="B116" t="s">
        <v>28</v>
      </c>
      <c r="C116" t="s">
        <v>22</v>
      </c>
      <c r="D116" t="s">
        <v>451</v>
      </c>
      <c r="E116" t="s">
        <v>452</v>
      </c>
      <c r="F116" t="s">
        <v>38</v>
      </c>
      <c r="G116" t="s">
        <v>453</v>
      </c>
      <c r="H116">
        <v>35</v>
      </c>
      <c r="I116">
        <v>12</v>
      </c>
      <c r="J116">
        <v>6</v>
      </c>
      <c r="K116">
        <v>0</v>
      </c>
      <c r="L116">
        <v>5</v>
      </c>
      <c r="N116">
        <v>6</v>
      </c>
      <c r="Q116">
        <v>16</v>
      </c>
      <c r="R116" s="1"/>
    </row>
    <row r="117" spans="1:18" x14ac:dyDescent="0.3">
      <c r="A117" t="s">
        <v>454</v>
      </c>
      <c r="B117" t="s">
        <v>21</v>
      </c>
      <c r="C117" t="s">
        <v>22</v>
      </c>
      <c r="D117" t="s">
        <v>455</v>
      </c>
      <c r="E117" t="s">
        <v>456</v>
      </c>
      <c r="F117" t="s">
        <v>142</v>
      </c>
      <c r="G117" t="s">
        <v>268</v>
      </c>
      <c r="H117">
        <v>40</v>
      </c>
      <c r="I117">
        <v>14</v>
      </c>
      <c r="J117">
        <v>4</v>
      </c>
      <c r="K117">
        <v>0</v>
      </c>
      <c r="L117">
        <v>2</v>
      </c>
      <c r="M117" s="3">
        <v>9</v>
      </c>
      <c r="N117">
        <v>33</v>
      </c>
      <c r="Q117">
        <v>25</v>
      </c>
      <c r="R117" s="1"/>
    </row>
    <row r="118" spans="1:18" x14ac:dyDescent="0.3">
      <c r="A118" s="2" t="s">
        <v>457</v>
      </c>
      <c r="B118" t="s">
        <v>21</v>
      </c>
      <c r="C118" t="s">
        <v>22</v>
      </c>
      <c r="D118" t="s">
        <v>458</v>
      </c>
      <c r="E118" t="s">
        <v>459</v>
      </c>
      <c r="F118" t="s">
        <v>25</v>
      </c>
      <c r="G118" t="s">
        <v>460</v>
      </c>
      <c r="H118">
        <v>15</v>
      </c>
      <c r="I118">
        <v>0</v>
      </c>
      <c r="J118">
        <v>0</v>
      </c>
      <c r="K118">
        <v>0</v>
      </c>
      <c r="L118">
        <v>0</v>
      </c>
      <c r="N118" s="1">
        <v>17.75</v>
      </c>
      <c r="O118" s="1"/>
      <c r="P118" s="1"/>
      <c r="Q118" s="1">
        <v>10.25</v>
      </c>
      <c r="R118" s="1"/>
    </row>
    <row r="119" spans="1:18" x14ac:dyDescent="0.3">
      <c r="A119" t="s">
        <v>457</v>
      </c>
      <c r="B119" t="s">
        <v>21</v>
      </c>
      <c r="C119" t="s">
        <v>22</v>
      </c>
      <c r="D119" t="s">
        <v>458</v>
      </c>
      <c r="E119" t="s">
        <v>459</v>
      </c>
      <c r="F119" t="s">
        <v>25</v>
      </c>
      <c r="G119" t="s">
        <v>461</v>
      </c>
      <c r="H119">
        <v>48</v>
      </c>
      <c r="I119">
        <v>0</v>
      </c>
      <c r="J119">
        <v>0</v>
      </c>
      <c r="K119">
        <v>0</v>
      </c>
      <c r="L119">
        <v>0</v>
      </c>
      <c r="N119" s="1">
        <v>19.75</v>
      </c>
      <c r="O119" s="1"/>
      <c r="P119" s="1"/>
      <c r="Q119" s="1">
        <v>15.75</v>
      </c>
      <c r="R119" s="1"/>
    </row>
    <row r="120" spans="1:18" x14ac:dyDescent="0.3">
      <c r="A120" t="s">
        <v>457</v>
      </c>
      <c r="B120" t="s">
        <v>21</v>
      </c>
      <c r="C120" t="s">
        <v>22</v>
      </c>
      <c r="D120" t="s">
        <v>458</v>
      </c>
      <c r="E120" t="s">
        <v>459</v>
      </c>
      <c r="F120" t="s">
        <v>25</v>
      </c>
      <c r="G120" t="s">
        <v>461</v>
      </c>
      <c r="H120">
        <v>48</v>
      </c>
      <c r="I120">
        <v>0</v>
      </c>
      <c r="J120">
        <v>0</v>
      </c>
      <c r="K120">
        <v>0</v>
      </c>
      <c r="L120">
        <v>0</v>
      </c>
      <c r="N120" s="1">
        <v>19.75</v>
      </c>
      <c r="O120" s="1"/>
      <c r="P120" s="1"/>
      <c r="Q120" s="1">
        <v>15.75</v>
      </c>
      <c r="R120" s="1"/>
    </row>
    <row r="121" spans="1:18" x14ac:dyDescent="0.3">
      <c r="A121" t="s">
        <v>457</v>
      </c>
      <c r="B121" t="s">
        <v>21</v>
      </c>
      <c r="C121" t="s">
        <v>22</v>
      </c>
      <c r="D121" t="s">
        <v>458</v>
      </c>
      <c r="E121" t="s">
        <v>459</v>
      </c>
      <c r="F121" t="s">
        <v>25</v>
      </c>
      <c r="G121" t="s">
        <v>462</v>
      </c>
      <c r="H121">
        <v>42</v>
      </c>
      <c r="I121">
        <v>0</v>
      </c>
      <c r="J121">
        <v>0</v>
      </c>
      <c r="K121">
        <v>0</v>
      </c>
      <c r="L121">
        <v>0</v>
      </c>
      <c r="N121" s="1">
        <v>21.75</v>
      </c>
      <c r="O121" s="1"/>
      <c r="P121" s="1"/>
      <c r="Q121" s="1">
        <v>14.75</v>
      </c>
      <c r="R121" s="1"/>
    </row>
    <row r="122" spans="1:18" hidden="1" x14ac:dyDescent="0.3">
      <c r="A122" s="16" t="s">
        <v>467</v>
      </c>
      <c r="B122" t="s">
        <v>53</v>
      </c>
      <c r="C122" t="s">
        <v>29</v>
      </c>
      <c r="D122" t="s">
        <v>468</v>
      </c>
      <c r="E122" t="s">
        <v>469</v>
      </c>
      <c r="F122" t="s">
        <v>56</v>
      </c>
      <c r="G122" t="s">
        <v>470</v>
      </c>
      <c r="H122">
        <v>16</v>
      </c>
      <c r="I122">
        <v>0</v>
      </c>
      <c r="J122">
        <v>0</v>
      </c>
      <c r="K122">
        <v>0</v>
      </c>
      <c r="L122">
        <v>0</v>
      </c>
      <c r="N122">
        <v>10</v>
      </c>
      <c r="O122">
        <v>3</v>
      </c>
      <c r="P122">
        <v>9.5</v>
      </c>
      <c r="Q122">
        <v>4</v>
      </c>
      <c r="R122" s="1"/>
    </row>
    <row r="123" spans="1:18" hidden="1" x14ac:dyDescent="0.3">
      <c r="A123" s="7" t="s">
        <v>524</v>
      </c>
      <c r="D123" s="18"/>
      <c r="E123" s="10"/>
    </row>
    <row r="124" spans="1:18" x14ac:dyDescent="0.3">
      <c r="A124" t="s">
        <v>474</v>
      </c>
      <c r="B124" t="s">
        <v>113</v>
      </c>
      <c r="C124" t="s">
        <v>22</v>
      </c>
      <c r="D124" t="s">
        <v>475</v>
      </c>
      <c r="E124" t="s">
        <v>476</v>
      </c>
      <c r="F124" t="s">
        <v>477</v>
      </c>
      <c r="G124" t="s">
        <v>478</v>
      </c>
      <c r="H124">
        <v>36</v>
      </c>
      <c r="I124">
        <v>0</v>
      </c>
      <c r="J124">
        <v>0</v>
      </c>
      <c r="K124">
        <v>0</v>
      </c>
      <c r="L124">
        <v>0</v>
      </c>
      <c r="N124">
        <v>6</v>
      </c>
      <c r="Q124">
        <v>7</v>
      </c>
      <c r="R124" s="1"/>
    </row>
    <row r="125" spans="1:18" hidden="1" x14ac:dyDescent="0.3">
      <c r="A125" s="7" t="s">
        <v>479</v>
      </c>
      <c r="B125" t="s">
        <v>21</v>
      </c>
      <c r="C125" t="s">
        <v>29</v>
      </c>
      <c r="D125" t="s">
        <v>480</v>
      </c>
      <c r="E125" t="s">
        <v>481</v>
      </c>
      <c r="F125" t="s">
        <v>482</v>
      </c>
      <c r="G125" t="s">
        <v>409</v>
      </c>
      <c r="H125">
        <v>44</v>
      </c>
      <c r="I125">
        <v>18</v>
      </c>
      <c r="J125">
        <v>6</v>
      </c>
      <c r="K125">
        <v>0</v>
      </c>
      <c r="L125">
        <v>2</v>
      </c>
      <c r="N125">
        <v>7.5</v>
      </c>
      <c r="O125">
        <v>2.5</v>
      </c>
      <c r="P125">
        <v>6.5</v>
      </c>
      <c r="Q125">
        <v>0</v>
      </c>
      <c r="R125" s="1"/>
    </row>
    <row r="126" spans="1:18" hidden="1" x14ac:dyDescent="0.3">
      <c r="A126" s="7" t="s">
        <v>479</v>
      </c>
      <c r="B126" t="s">
        <v>21</v>
      </c>
      <c r="C126" t="s">
        <v>29</v>
      </c>
      <c r="D126" t="s">
        <v>480</v>
      </c>
      <c r="E126" t="s">
        <v>481</v>
      </c>
      <c r="F126" t="s">
        <v>482</v>
      </c>
      <c r="G126" t="s">
        <v>353</v>
      </c>
      <c r="H126">
        <v>30</v>
      </c>
      <c r="I126">
        <v>10</v>
      </c>
      <c r="J126">
        <v>4</v>
      </c>
      <c r="K126">
        <v>0</v>
      </c>
      <c r="L126">
        <v>1</v>
      </c>
      <c r="N126">
        <v>17.5</v>
      </c>
      <c r="O126">
        <v>11</v>
      </c>
      <c r="P126">
        <v>16.5</v>
      </c>
      <c r="Q126">
        <v>11.5</v>
      </c>
      <c r="R126" s="1"/>
    </row>
    <row r="127" spans="1:18" hidden="1" x14ac:dyDescent="0.3">
      <c r="A127" s="7" t="s">
        <v>479</v>
      </c>
      <c r="B127" t="s">
        <v>21</v>
      </c>
      <c r="C127" t="s">
        <v>29</v>
      </c>
      <c r="D127" t="s">
        <v>480</v>
      </c>
      <c r="E127" t="s">
        <v>481</v>
      </c>
      <c r="F127" t="s">
        <v>482</v>
      </c>
      <c r="G127" t="s">
        <v>483</v>
      </c>
      <c r="H127">
        <v>26</v>
      </c>
      <c r="I127">
        <v>10</v>
      </c>
      <c r="J127">
        <v>2</v>
      </c>
      <c r="K127">
        <v>0</v>
      </c>
      <c r="L127">
        <v>1</v>
      </c>
      <c r="N127">
        <v>25.5</v>
      </c>
      <c r="O127">
        <v>17.5</v>
      </c>
      <c r="P127">
        <v>25.5</v>
      </c>
      <c r="Q127">
        <v>20</v>
      </c>
      <c r="R127" s="1"/>
    </row>
    <row r="128" spans="1:18" x14ac:dyDescent="0.3">
      <c r="A128" t="s">
        <v>484</v>
      </c>
      <c r="B128" t="s">
        <v>53</v>
      </c>
      <c r="D128" t="s">
        <v>485</v>
      </c>
      <c r="E128" t="s">
        <v>486</v>
      </c>
      <c r="F128" t="s">
        <v>56</v>
      </c>
      <c r="G128" t="s">
        <v>487</v>
      </c>
      <c r="H128">
        <v>20</v>
      </c>
      <c r="I128">
        <v>0</v>
      </c>
      <c r="J128">
        <v>0</v>
      </c>
      <c r="K128">
        <v>0</v>
      </c>
      <c r="L128">
        <v>0</v>
      </c>
      <c r="N128">
        <v>14</v>
      </c>
      <c r="Q128">
        <v>3</v>
      </c>
      <c r="R128" s="1"/>
    </row>
    <row r="129" spans="1:18" hidden="1" x14ac:dyDescent="0.3">
      <c r="A129" s="16" t="s">
        <v>488</v>
      </c>
      <c r="B129" t="s">
        <v>28</v>
      </c>
      <c r="C129" t="s">
        <v>29</v>
      </c>
      <c r="D129" t="s">
        <v>489</v>
      </c>
      <c r="E129" t="s">
        <v>490</v>
      </c>
      <c r="F129" t="s">
        <v>155</v>
      </c>
      <c r="G129" t="s">
        <v>492</v>
      </c>
      <c r="H129">
        <v>9</v>
      </c>
      <c r="I129">
        <v>3</v>
      </c>
      <c r="J129">
        <v>1</v>
      </c>
      <c r="K129">
        <v>0</v>
      </c>
      <c r="L129">
        <v>1</v>
      </c>
      <c r="N129">
        <v>9</v>
      </c>
      <c r="Q129">
        <v>19</v>
      </c>
      <c r="R129" s="1"/>
    </row>
    <row r="130" spans="1:18" hidden="1" x14ac:dyDescent="0.3">
      <c r="A130" s="16" t="s">
        <v>488</v>
      </c>
      <c r="B130" t="s">
        <v>28</v>
      </c>
      <c r="C130" t="s">
        <v>29</v>
      </c>
      <c r="D130" t="s">
        <v>489</v>
      </c>
      <c r="E130" t="s">
        <v>490</v>
      </c>
      <c r="F130" t="s">
        <v>155</v>
      </c>
      <c r="G130" t="s">
        <v>491</v>
      </c>
      <c r="H130">
        <v>9</v>
      </c>
      <c r="I130">
        <v>3</v>
      </c>
      <c r="J130">
        <v>1</v>
      </c>
      <c r="K130">
        <v>0</v>
      </c>
      <c r="L130">
        <v>1</v>
      </c>
      <c r="N130">
        <v>9</v>
      </c>
      <c r="Q130">
        <v>19</v>
      </c>
      <c r="R130" s="1"/>
    </row>
    <row r="131" spans="1:18" x14ac:dyDescent="0.3">
      <c r="A131" t="s">
        <v>497</v>
      </c>
      <c r="B131" t="s">
        <v>21</v>
      </c>
      <c r="C131" t="s">
        <v>29</v>
      </c>
      <c r="D131" t="s">
        <v>498</v>
      </c>
      <c r="E131" t="s">
        <v>221</v>
      </c>
      <c r="F131" t="s">
        <v>142</v>
      </c>
      <c r="G131" t="s">
        <v>499</v>
      </c>
      <c r="H131">
        <v>11</v>
      </c>
      <c r="I131">
        <v>4</v>
      </c>
      <c r="J131">
        <v>2</v>
      </c>
      <c r="K131">
        <v>3</v>
      </c>
      <c r="L131">
        <v>1</v>
      </c>
      <c r="N131">
        <v>6</v>
      </c>
      <c r="Q131">
        <v>14</v>
      </c>
      <c r="R131" s="1"/>
    </row>
    <row r="132" spans="1:18" hidden="1" x14ac:dyDescent="0.3">
      <c r="A132" s="16" t="s">
        <v>500</v>
      </c>
      <c r="B132" t="s">
        <v>53</v>
      </c>
      <c r="C132" t="s">
        <v>29</v>
      </c>
      <c r="D132" s="10" t="s">
        <v>501</v>
      </c>
      <c r="E132" s="10" t="s">
        <v>502</v>
      </c>
      <c r="F132" t="s">
        <v>56</v>
      </c>
      <c r="G132" t="s">
        <v>503</v>
      </c>
      <c r="H132">
        <v>21</v>
      </c>
      <c r="I132">
        <v>0</v>
      </c>
      <c r="J132">
        <v>0</v>
      </c>
      <c r="K132">
        <v>0</v>
      </c>
      <c r="L132">
        <v>0</v>
      </c>
    </row>
    <row r="133" spans="1:18" x14ac:dyDescent="0.3">
      <c r="D133" s="18"/>
      <c r="E133" s="10"/>
    </row>
    <row r="135" spans="1:18" x14ac:dyDescent="0.3">
      <c r="A135" t="s">
        <v>525</v>
      </c>
    </row>
    <row r="136" spans="1:18" x14ac:dyDescent="0.3">
      <c r="A136" t="s">
        <v>526</v>
      </c>
    </row>
    <row r="137" spans="1:18" x14ac:dyDescent="0.3">
      <c r="A137" t="s">
        <v>527</v>
      </c>
    </row>
    <row r="138" spans="1:18" x14ac:dyDescent="0.3">
      <c r="A138" t="s">
        <v>528</v>
      </c>
    </row>
    <row r="139" spans="1:18" x14ac:dyDescent="0.3">
      <c r="A139" t="s">
        <v>529</v>
      </c>
    </row>
    <row r="141" spans="1:18" x14ac:dyDescent="0.3">
      <c r="B141" t="s">
        <v>530</v>
      </c>
    </row>
    <row r="142" spans="1:18" x14ac:dyDescent="0.3">
      <c r="B142" t="s">
        <v>531</v>
      </c>
      <c r="C142" s="6"/>
    </row>
    <row r="143" spans="1:18" x14ac:dyDescent="0.3">
      <c r="B143" t="s">
        <v>532</v>
      </c>
      <c r="C143" s="3"/>
    </row>
    <row r="144" spans="1:18" x14ac:dyDescent="0.3">
      <c r="B144" t="s">
        <v>533</v>
      </c>
      <c r="C144" s="5"/>
    </row>
    <row r="145" spans="2:2" x14ac:dyDescent="0.3">
      <c r="B145" t="s">
        <v>534</v>
      </c>
    </row>
    <row r="146" spans="2:2" x14ac:dyDescent="0.3">
      <c r="B146" t="s">
        <v>535</v>
      </c>
    </row>
  </sheetData>
  <autoFilter ref="A1:R132" xr:uid="{00000000-0001-0000-0000-000000000000}">
    <filterColumn colId="0">
      <colorFilter dxfId="2"/>
    </filterColumn>
    <sortState xmlns:xlrd2="http://schemas.microsoft.com/office/spreadsheetml/2017/richdata2" ref="A2:R132">
      <sortCondition ref="A1:A89"/>
    </sortState>
  </autoFilter>
  <sortState xmlns:xlrd2="http://schemas.microsoft.com/office/spreadsheetml/2017/richdata2" ref="A2:Q83">
    <sortCondition ref="A2:A83"/>
  </sortState>
  <hyperlinks>
    <hyperlink ref="D15" r:id="rId1" xr:uid="{84E3D2DA-C03D-4204-AC02-738B2A96D669}"/>
    <hyperlink ref="D114" r:id="rId2" xr:uid="{A719780F-F3C5-4B68-95BE-76559D7201BB}"/>
    <hyperlink ref="D99" r:id="rId3" xr:uid="{D2B89F17-FA8B-4A4A-85B5-7222E16A2FC5}"/>
    <hyperlink ref="D100" r:id="rId4" xr:uid="{5C37C3B8-B65D-4538-83E7-997E559F8CBE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8170-B7A1-4FC8-94EE-2A078316B82B}">
  <dimension ref="B2:J12"/>
  <sheetViews>
    <sheetView workbookViewId="0">
      <selection activeCell="K13" sqref="K13"/>
    </sheetView>
  </sheetViews>
  <sheetFormatPr defaultRowHeight="14.4" x14ac:dyDescent="0.3"/>
  <cols>
    <col min="2" max="2" width="23" bestFit="1" customWidth="1"/>
    <col min="3" max="3" width="10.6640625" bestFit="1" customWidth="1"/>
    <col min="4" max="4" width="17.6640625" bestFit="1" customWidth="1"/>
    <col min="5" max="5" width="4" bestFit="1" customWidth="1"/>
    <col min="6" max="6" width="8.109375" bestFit="1" customWidth="1"/>
    <col min="7" max="7" width="14.88671875" bestFit="1" customWidth="1"/>
    <col min="8" max="8" width="26.33203125" bestFit="1" customWidth="1"/>
    <col min="9" max="9" width="14.6640625" bestFit="1" customWidth="1"/>
    <col min="10" max="10" width="10.109375" bestFit="1" customWidth="1"/>
  </cols>
  <sheetData>
    <row r="2" spans="2:10" ht="28.8" x14ac:dyDescent="0.3">
      <c r="B2" s="20" t="s">
        <v>0</v>
      </c>
      <c r="C2" s="20" t="s">
        <v>1</v>
      </c>
      <c r="D2" s="20" t="s">
        <v>6</v>
      </c>
      <c r="E2" s="20" t="s">
        <v>7</v>
      </c>
      <c r="F2" s="22" t="s">
        <v>539</v>
      </c>
      <c r="G2" s="20" t="s">
        <v>540</v>
      </c>
      <c r="H2" s="20" t="s">
        <v>541</v>
      </c>
      <c r="I2" s="22" t="s">
        <v>542</v>
      </c>
      <c r="J2" s="20" t="s">
        <v>543</v>
      </c>
    </row>
    <row r="3" spans="2:10" x14ac:dyDescent="0.3">
      <c r="B3" s="24" t="s">
        <v>45</v>
      </c>
      <c r="C3" s="24" t="s">
        <v>21</v>
      </c>
      <c r="D3" s="24" t="s">
        <v>46</v>
      </c>
      <c r="E3" s="24">
        <v>55</v>
      </c>
      <c r="F3" s="24" t="s">
        <v>544</v>
      </c>
      <c r="G3" s="24">
        <v>0</v>
      </c>
      <c r="H3" s="24" t="s">
        <v>545</v>
      </c>
      <c r="I3" s="36"/>
      <c r="J3" s="36"/>
    </row>
    <row r="4" spans="2:10" x14ac:dyDescent="0.3">
      <c r="B4" s="25" t="s">
        <v>103</v>
      </c>
      <c r="C4" s="25" t="s">
        <v>28</v>
      </c>
      <c r="D4" s="25" t="s">
        <v>106</v>
      </c>
      <c r="E4" s="25">
        <v>13</v>
      </c>
      <c r="F4" s="25" t="s">
        <v>544</v>
      </c>
      <c r="G4" s="25">
        <v>14</v>
      </c>
      <c r="H4" s="25" t="s">
        <v>546</v>
      </c>
      <c r="I4" s="36" t="s">
        <v>547</v>
      </c>
      <c r="J4" s="36"/>
    </row>
    <row r="5" spans="2:10" x14ac:dyDescent="0.3">
      <c r="B5" s="24" t="s">
        <v>152</v>
      </c>
      <c r="C5" s="24" t="s">
        <v>28</v>
      </c>
      <c r="D5" s="24" t="s">
        <v>156</v>
      </c>
      <c r="E5" s="24">
        <v>30</v>
      </c>
      <c r="F5" s="24" t="s">
        <v>544</v>
      </c>
      <c r="G5" s="24"/>
      <c r="H5" s="24" t="s">
        <v>548</v>
      </c>
      <c r="I5" s="24"/>
      <c r="J5" s="24"/>
    </row>
    <row r="6" spans="2:10" x14ac:dyDescent="0.3">
      <c r="B6" s="24" t="s">
        <v>159</v>
      </c>
      <c r="C6" s="24" t="s">
        <v>28</v>
      </c>
      <c r="D6" s="24" t="s">
        <v>163</v>
      </c>
      <c r="E6" s="24">
        <v>17</v>
      </c>
      <c r="F6" s="24" t="s">
        <v>544</v>
      </c>
      <c r="G6" s="24"/>
      <c r="H6" s="24"/>
      <c r="I6" s="36"/>
      <c r="J6" s="36"/>
    </row>
    <row r="7" spans="2:10" x14ac:dyDescent="0.3">
      <c r="B7" s="25" t="s">
        <v>275</v>
      </c>
      <c r="C7" s="25" t="s">
        <v>28</v>
      </c>
      <c r="D7" s="25" t="s">
        <v>282</v>
      </c>
      <c r="E7" s="25">
        <v>100</v>
      </c>
      <c r="F7" s="25" t="s">
        <v>544</v>
      </c>
      <c r="G7" s="25">
        <v>56</v>
      </c>
      <c r="H7" s="25" t="s">
        <v>546</v>
      </c>
      <c r="I7" s="36" t="s">
        <v>549</v>
      </c>
      <c r="J7" s="36" t="s">
        <v>550</v>
      </c>
    </row>
    <row r="8" spans="2:10" x14ac:dyDescent="0.3">
      <c r="B8" s="25" t="s">
        <v>425</v>
      </c>
      <c r="C8" s="25" t="s">
        <v>28</v>
      </c>
      <c r="D8" s="25" t="s">
        <v>428</v>
      </c>
      <c r="E8" s="25">
        <v>13</v>
      </c>
      <c r="F8" s="20" t="s">
        <v>544</v>
      </c>
      <c r="G8" s="25">
        <v>6</v>
      </c>
      <c r="H8" s="25"/>
      <c r="I8" s="36" t="s">
        <v>551</v>
      </c>
      <c r="J8" s="36" t="s">
        <v>552</v>
      </c>
    </row>
    <row r="9" spans="2:10" x14ac:dyDescent="0.3">
      <c r="B9" s="24" t="s">
        <v>435</v>
      </c>
      <c r="C9" s="24" t="s">
        <v>28</v>
      </c>
      <c r="D9" s="24" t="s">
        <v>438</v>
      </c>
      <c r="E9" s="24">
        <v>19</v>
      </c>
      <c r="F9" s="24" t="s">
        <v>544</v>
      </c>
      <c r="G9" s="24"/>
      <c r="H9" s="24" t="s">
        <v>553</v>
      </c>
      <c r="I9" s="36"/>
      <c r="J9" s="36"/>
    </row>
    <row r="10" spans="2:10" x14ac:dyDescent="0.3">
      <c r="B10" s="25" t="s">
        <v>488</v>
      </c>
      <c r="C10" s="25" t="s">
        <v>28</v>
      </c>
      <c r="D10" s="25" t="s">
        <v>492</v>
      </c>
      <c r="E10" s="25">
        <v>9</v>
      </c>
      <c r="F10" s="25" t="s">
        <v>544</v>
      </c>
      <c r="G10" s="25">
        <v>8</v>
      </c>
      <c r="H10" s="25" t="s">
        <v>545</v>
      </c>
      <c r="I10" s="36" t="s">
        <v>554</v>
      </c>
      <c r="J10" s="36"/>
    </row>
    <row r="11" spans="2:10" x14ac:dyDescent="0.3">
      <c r="B11" s="25" t="s">
        <v>488</v>
      </c>
      <c r="C11" s="25" t="s">
        <v>28</v>
      </c>
      <c r="D11" s="25" t="s">
        <v>491</v>
      </c>
      <c r="E11" s="25">
        <v>9</v>
      </c>
      <c r="F11" s="25" t="s">
        <v>544</v>
      </c>
      <c r="G11" s="25">
        <v>9</v>
      </c>
      <c r="H11" s="25" t="s">
        <v>545</v>
      </c>
      <c r="I11" s="36"/>
      <c r="J11" s="36"/>
    </row>
    <row r="12" spans="2:10" x14ac:dyDescent="0.3">
      <c r="B12" s="20"/>
      <c r="C12" s="20"/>
      <c r="D12" s="21" t="s">
        <v>511</v>
      </c>
      <c r="E12" s="20">
        <v>265</v>
      </c>
      <c r="F12" s="20"/>
      <c r="G12" s="20">
        <f>SUM(G3:G11)</f>
        <v>93</v>
      </c>
      <c r="H12" s="20"/>
      <c r="I12" s="20"/>
      <c r="J12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CEDD-526A-45B2-AB17-340C67CD0AC1}">
  <sheetPr filterMode="1"/>
  <dimension ref="A1:V47"/>
  <sheetViews>
    <sheetView topLeftCell="C1" zoomScaleNormal="100" workbookViewId="0">
      <selection activeCell="N1" sqref="N1:V45"/>
    </sheetView>
  </sheetViews>
  <sheetFormatPr defaultRowHeight="14.4" x14ac:dyDescent="0.3"/>
  <cols>
    <col min="1" max="1" width="41.33203125" bestFit="1" customWidth="1"/>
    <col min="2" max="2" width="11.109375" bestFit="1" customWidth="1"/>
    <col min="3" max="3" width="39" bestFit="1" customWidth="1"/>
    <col min="4" max="4" width="13.6640625" bestFit="1" customWidth="1"/>
    <col min="6" max="6" width="17.6640625" bestFit="1" customWidth="1"/>
    <col min="8" max="11" width="0" hidden="1" customWidth="1"/>
    <col min="14" max="14" width="24.33203125" customWidth="1"/>
    <col min="15" max="15" width="11.109375" bestFit="1" customWidth="1"/>
    <col min="16" max="16" width="17.6640625" bestFit="1" customWidth="1"/>
    <col min="18" max="18" width="6.88671875" customWidth="1"/>
    <col min="19" max="19" width="15" customWidth="1"/>
    <col min="20" max="20" width="30.5546875" bestFit="1" customWidth="1"/>
    <col min="21" max="21" width="14.6640625" bestFit="1" customWidth="1"/>
  </cols>
  <sheetData>
    <row r="1" spans="1:22" ht="28.8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N1" s="20" t="s">
        <v>0</v>
      </c>
      <c r="O1" s="20" t="s">
        <v>1</v>
      </c>
      <c r="P1" s="20" t="s">
        <v>6</v>
      </c>
      <c r="Q1" s="20" t="s">
        <v>7</v>
      </c>
      <c r="R1" s="29" t="s">
        <v>539</v>
      </c>
      <c r="S1" s="27" t="s">
        <v>540</v>
      </c>
      <c r="T1" s="27" t="s">
        <v>541</v>
      </c>
      <c r="U1" s="27" t="s">
        <v>555</v>
      </c>
      <c r="V1" s="27" t="s">
        <v>543</v>
      </c>
    </row>
    <row r="2" spans="1:22" hidden="1" x14ac:dyDescent="0.3">
      <c r="A2" s="16" t="s">
        <v>27</v>
      </c>
      <c r="B2" t="s">
        <v>28</v>
      </c>
      <c r="C2" s="18" t="s">
        <v>30</v>
      </c>
      <c r="D2" s="10" t="s">
        <v>31</v>
      </c>
      <c r="E2" t="s">
        <v>32</v>
      </c>
      <c r="F2" t="s">
        <v>34</v>
      </c>
      <c r="G2">
        <v>13</v>
      </c>
      <c r="H2">
        <v>6</v>
      </c>
      <c r="I2">
        <v>3</v>
      </c>
      <c r="J2">
        <v>0</v>
      </c>
      <c r="K2">
        <v>1</v>
      </c>
      <c r="N2" s="25" t="s">
        <v>27</v>
      </c>
      <c r="O2" s="20" t="s">
        <v>28</v>
      </c>
      <c r="P2" s="20" t="s">
        <v>34</v>
      </c>
      <c r="Q2" s="20">
        <v>13</v>
      </c>
    </row>
    <row r="3" spans="1:22" hidden="1" x14ac:dyDescent="0.3">
      <c r="A3" s="16" t="s">
        <v>27</v>
      </c>
      <c r="B3" t="s">
        <v>28</v>
      </c>
      <c r="C3" s="18" t="s">
        <v>30</v>
      </c>
      <c r="D3" s="10" t="s">
        <v>31</v>
      </c>
      <c r="E3" t="s">
        <v>32</v>
      </c>
      <c r="F3" t="s">
        <v>33</v>
      </c>
      <c r="G3">
        <v>13</v>
      </c>
      <c r="H3">
        <v>6</v>
      </c>
      <c r="I3">
        <v>3</v>
      </c>
      <c r="J3">
        <v>0</v>
      </c>
      <c r="K3">
        <v>1</v>
      </c>
      <c r="N3" s="30" t="s">
        <v>27</v>
      </c>
      <c r="O3" s="31" t="s">
        <v>28</v>
      </c>
      <c r="P3" s="31" t="s">
        <v>33</v>
      </c>
      <c r="Q3" s="31">
        <v>13</v>
      </c>
    </row>
    <row r="4" spans="1:22" x14ac:dyDescent="0.3">
      <c r="A4" s="16" t="s">
        <v>45</v>
      </c>
      <c r="B4" t="s">
        <v>21</v>
      </c>
      <c r="C4" s="10" t="s">
        <v>41</v>
      </c>
      <c r="D4" s="10" t="s">
        <v>42</v>
      </c>
      <c r="E4" t="s">
        <v>43</v>
      </c>
      <c r="F4" t="s">
        <v>46</v>
      </c>
      <c r="G4">
        <v>55</v>
      </c>
      <c r="H4">
        <v>20</v>
      </c>
      <c r="I4">
        <v>9</v>
      </c>
      <c r="J4">
        <v>0</v>
      </c>
      <c r="K4">
        <v>2</v>
      </c>
      <c r="N4" s="24" t="s">
        <v>45</v>
      </c>
      <c r="O4" s="24" t="s">
        <v>21</v>
      </c>
      <c r="P4" s="24" t="s">
        <v>46</v>
      </c>
      <c r="Q4" s="24">
        <v>55</v>
      </c>
      <c r="R4" s="24" t="s">
        <v>544</v>
      </c>
      <c r="S4" s="24">
        <v>0</v>
      </c>
      <c r="T4" s="24" t="s">
        <v>545</v>
      </c>
    </row>
    <row r="5" spans="1:22" hidden="1" x14ac:dyDescent="0.3">
      <c r="A5" s="16" t="s">
        <v>52</v>
      </c>
      <c r="B5" t="s">
        <v>53</v>
      </c>
      <c r="C5" s="10" t="s">
        <v>54</v>
      </c>
      <c r="E5" t="s">
        <v>56</v>
      </c>
      <c r="F5" t="s">
        <v>513</v>
      </c>
      <c r="G5">
        <v>17</v>
      </c>
      <c r="H5">
        <v>0</v>
      </c>
      <c r="I5">
        <v>0</v>
      </c>
      <c r="J5">
        <v>0</v>
      </c>
      <c r="K5">
        <v>0</v>
      </c>
      <c r="N5" s="16" t="s">
        <v>52</v>
      </c>
      <c r="O5" t="s">
        <v>53</v>
      </c>
      <c r="P5" t="s">
        <v>513</v>
      </c>
      <c r="Q5">
        <v>17</v>
      </c>
    </row>
    <row r="6" spans="1:22" hidden="1" x14ac:dyDescent="0.3">
      <c r="A6" s="16" t="s">
        <v>58</v>
      </c>
      <c r="B6" t="s">
        <v>21</v>
      </c>
      <c r="C6" s="18" t="s">
        <v>59</v>
      </c>
      <c r="D6" s="10" t="s">
        <v>60</v>
      </c>
      <c r="E6" t="s">
        <v>25</v>
      </c>
      <c r="F6" t="s">
        <v>61</v>
      </c>
      <c r="G6">
        <v>30</v>
      </c>
      <c r="H6">
        <v>15</v>
      </c>
      <c r="I6">
        <v>5</v>
      </c>
      <c r="J6">
        <v>0</v>
      </c>
      <c r="K6">
        <v>0</v>
      </c>
      <c r="N6" s="25" t="s">
        <v>58</v>
      </c>
      <c r="O6" s="20" t="s">
        <v>21</v>
      </c>
      <c r="P6" s="20" t="s">
        <v>61</v>
      </c>
      <c r="Q6" s="20">
        <v>30</v>
      </c>
    </row>
    <row r="7" spans="1:22" hidden="1" x14ac:dyDescent="0.3">
      <c r="A7" s="16" t="s">
        <v>70</v>
      </c>
      <c r="B7" t="s">
        <v>53</v>
      </c>
      <c r="C7" t="s">
        <v>71</v>
      </c>
      <c r="D7" t="s">
        <v>72</v>
      </c>
      <c r="E7" t="s">
        <v>56</v>
      </c>
      <c r="F7" t="s">
        <v>73</v>
      </c>
      <c r="G7">
        <v>15</v>
      </c>
      <c r="H7">
        <v>0</v>
      </c>
      <c r="I7">
        <v>0</v>
      </c>
      <c r="J7">
        <v>0</v>
      </c>
      <c r="K7">
        <v>0</v>
      </c>
      <c r="N7" s="16" t="s">
        <v>70</v>
      </c>
      <c r="O7" t="s">
        <v>53</v>
      </c>
      <c r="P7" t="s">
        <v>73</v>
      </c>
      <c r="Q7">
        <v>15</v>
      </c>
    </row>
    <row r="8" spans="1:22" hidden="1" x14ac:dyDescent="0.3">
      <c r="A8" s="16" t="s">
        <v>83</v>
      </c>
      <c r="B8" t="s">
        <v>21</v>
      </c>
      <c r="C8" s="18" t="s">
        <v>84</v>
      </c>
      <c r="D8" s="10" t="s">
        <v>85</v>
      </c>
      <c r="E8" t="s">
        <v>25</v>
      </c>
      <c r="F8" t="s">
        <v>521</v>
      </c>
      <c r="G8">
        <v>20</v>
      </c>
      <c r="H8">
        <v>10</v>
      </c>
      <c r="I8">
        <v>4</v>
      </c>
      <c r="J8">
        <v>0</v>
      </c>
      <c r="K8">
        <v>0</v>
      </c>
      <c r="N8" s="25" t="s">
        <v>83</v>
      </c>
      <c r="O8" s="20" t="s">
        <v>21</v>
      </c>
      <c r="P8" s="20" t="s">
        <v>521</v>
      </c>
      <c r="Q8" s="20">
        <v>20</v>
      </c>
    </row>
    <row r="9" spans="1:22" hidden="1" x14ac:dyDescent="0.3">
      <c r="A9" s="16" t="s">
        <v>83</v>
      </c>
      <c r="B9" t="s">
        <v>21</v>
      </c>
      <c r="C9" s="18" t="s">
        <v>84</v>
      </c>
      <c r="D9" s="10" t="s">
        <v>85</v>
      </c>
      <c r="E9" t="s">
        <v>25</v>
      </c>
      <c r="F9" t="s">
        <v>88</v>
      </c>
      <c r="G9">
        <v>32</v>
      </c>
      <c r="H9">
        <v>10</v>
      </c>
      <c r="I9">
        <v>5</v>
      </c>
      <c r="J9">
        <v>0</v>
      </c>
      <c r="K9">
        <v>1</v>
      </c>
      <c r="N9" s="30" t="s">
        <v>83</v>
      </c>
      <c r="O9" s="31" t="s">
        <v>21</v>
      </c>
      <c r="P9" s="31" t="s">
        <v>88</v>
      </c>
      <c r="Q9" s="31">
        <v>32</v>
      </c>
    </row>
    <row r="10" spans="1:22" x14ac:dyDescent="0.3">
      <c r="A10" s="16" t="s">
        <v>103</v>
      </c>
      <c r="B10" t="s">
        <v>28</v>
      </c>
      <c r="C10" s="18" t="s">
        <v>104</v>
      </c>
      <c r="D10" s="10" t="s">
        <v>105</v>
      </c>
      <c r="E10" t="s">
        <v>43</v>
      </c>
      <c r="F10" t="s">
        <v>106</v>
      </c>
      <c r="G10">
        <v>13</v>
      </c>
      <c r="H10">
        <v>4</v>
      </c>
      <c r="I10">
        <v>2</v>
      </c>
      <c r="J10">
        <v>0</v>
      </c>
      <c r="K10">
        <v>1</v>
      </c>
      <c r="N10" s="25" t="s">
        <v>103</v>
      </c>
      <c r="O10" s="25" t="s">
        <v>28</v>
      </c>
      <c r="P10" s="25" t="s">
        <v>106</v>
      </c>
      <c r="Q10" s="25">
        <v>13</v>
      </c>
      <c r="R10" s="25" t="s">
        <v>544</v>
      </c>
      <c r="S10" s="25">
        <v>14</v>
      </c>
      <c r="T10" s="25" t="s">
        <v>546</v>
      </c>
      <c r="U10" s="35" t="s">
        <v>547</v>
      </c>
    </row>
    <row r="11" spans="1:22" hidden="1" x14ac:dyDescent="0.3">
      <c r="A11" s="16" t="s">
        <v>120</v>
      </c>
      <c r="B11" t="s">
        <v>28</v>
      </c>
      <c r="C11" s="18" t="s">
        <v>121</v>
      </c>
      <c r="D11" s="10" t="s">
        <v>122</v>
      </c>
      <c r="E11" t="s">
        <v>32</v>
      </c>
      <c r="F11" t="s">
        <v>123</v>
      </c>
      <c r="G11">
        <v>7</v>
      </c>
      <c r="H11">
        <v>2</v>
      </c>
      <c r="I11">
        <v>1</v>
      </c>
      <c r="J11">
        <v>0</v>
      </c>
      <c r="K11">
        <v>0</v>
      </c>
      <c r="N11" s="25" t="s">
        <v>120</v>
      </c>
      <c r="O11" s="20" t="s">
        <v>28</v>
      </c>
      <c r="P11" s="20" t="s">
        <v>123</v>
      </c>
      <c r="Q11" s="20">
        <v>7</v>
      </c>
    </row>
    <row r="12" spans="1:22" hidden="1" x14ac:dyDescent="0.3">
      <c r="A12" s="16" t="s">
        <v>134</v>
      </c>
      <c r="B12" t="s">
        <v>28</v>
      </c>
      <c r="C12" t="s">
        <v>135</v>
      </c>
      <c r="D12" t="s">
        <v>136</v>
      </c>
      <c r="E12" t="s">
        <v>137</v>
      </c>
      <c r="F12" t="s">
        <v>138</v>
      </c>
      <c r="G12">
        <v>20</v>
      </c>
      <c r="H12">
        <v>8</v>
      </c>
      <c r="I12">
        <v>4</v>
      </c>
      <c r="J12">
        <v>0</v>
      </c>
      <c r="K12">
        <v>0</v>
      </c>
      <c r="N12" s="30" t="s">
        <v>134</v>
      </c>
      <c r="O12" s="31" t="s">
        <v>28</v>
      </c>
      <c r="P12" s="31" t="s">
        <v>138</v>
      </c>
      <c r="Q12" s="31">
        <v>20</v>
      </c>
    </row>
    <row r="13" spans="1:22" x14ac:dyDescent="0.3">
      <c r="A13" s="16" t="s">
        <v>152</v>
      </c>
      <c r="B13" t="s">
        <v>28</v>
      </c>
      <c r="C13" t="s">
        <v>153</v>
      </c>
      <c r="D13" t="s">
        <v>154</v>
      </c>
      <c r="E13" t="s">
        <v>155</v>
      </c>
      <c r="F13" t="s">
        <v>156</v>
      </c>
      <c r="G13">
        <v>30</v>
      </c>
      <c r="H13">
        <v>0</v>
      </c>
      <c r="I13">
        <v>0</v>
      </c>
      <c r="J13">
        <v>0</v>
      </c>
      <c r="K13">
        <v>0</v>
      </c>
      <c r="N13" s="25" t="s">
        <v>152</v>
      </c>
      <c r="O13" s="20" t="s">
        <v>28</v>
      </c>
      <c r="P13" s="20" t="s">
        <v>156</v>
      </c>
      <c r="Q13" s="25">
        <v>30</v>
      </c>
      <c r="R13" s="20" t="s">
        <v>544</v>
      </c>
      <c r="S13" s="20"/>
      <c r="T13" s="28" t="s">
        <v>548</v>
      </c>
    </row>
    <row r="14" spans="1:22" hidden="1" x14ac:dyDescent="0.3">
      <c r="A14" s="16" t="s">
        <v>157</v>
      </c>
      <c r="B14" t="s">
        <v>53</v>
      </c>
      <c r="C14" t="s">
        <v>153</v>
      </c>
      <c r="D14" t="s">
        <v>154</v>
      </c>
      <c r="E14" t="s">
        <v>56</v>
      </c>
      <c r="F14" t="s">
        <v>156</v>
      </c>
      <c r="G14">
        <v>30</v>
      </c>
      <c r="H14">
        <v>0</v>
      </c>
      <c r="I14">
        <v>0</v>
      </c>
      <c r="J14">
        <v>0</v>
      </c>
      <c r="K14">
        <v>0</v>
      </c>
      <c r="N14" s="16" t="s">
        <v>157</v>
      </c>
      <c r="O14" t="s">
        <v>53</v>
      </c>
      <c r="P14" t="s">
        <v>156</v>
      </c>
      <c r="Q14">
        <v>30</v>
      </c>
    </row>
    <row r="15" spans="1:22" x14ac:dyDescent="0.3">
      <c r="A15" s="16" t="s">
        <v>159</v>
      </c>
      <c r="B15" t="s">
        <v>28</v>
      </c>
      <c r="C15" t="s">
        <v>160</v>
      </c>
      <c r="D15" t="s">
        <v>161</v>
      </c>
      <c r="E15" t="s">
        <v>162</v>
      </c>
      <c r="F15" t="s">
        <v>163</v>
      </c>
      <c r="G15">
        <v>17</v>
      </c>
      <c r="H15">
        <v>6</v>
      </c>
      <c r="I15">
        <v>3</v>
      </c>
      <c r="J15">
        <v>4</v>
      </c>
      <c r="K15">
        <v>0</v>
      </c>
      <c r="N15" s="24" t="s">
        <v>159</v>
      </c>
      <c r="O15" s="24" t="s">
        <v>28</v>
      </c>
      <c r="P15" s="24" t="s">
        <v>163</v>
      </c>
      <c r="Q15" s="24">
        <v>17</v>
      </c>
      <c r="R15" s="24" t="s">
        <v>544</v>
      </c>
      <c r="S15" s="24"/>
      <c r="T15" s="24"/>
    </row>
    <row r="16" spans="1:22" hidden="1" x14ac:dyDescent="0.3">
      <c r="A16" s="16" t="s">
        <v>164</v>
      </c>
      <c r="B16" t="s">
        <v>53</v>
      </c>
      <c r="C16" t="s">
        <v>165</v>
      </c>
      <c r="D16" t="s">
        <v>166</v>
      </c>
      <c r="E16" t="s">
        <v>32</v>
      </c>
      <c r="F16" t="s">
        <v>167</v>
      </c>
      <c r="G16">
        <v>32</v>
      </c>
      <c r="H16">
        <v>0</v>
      </c>
      <c r="I16">
        <v>0</v>
      </c>
      <c r="J16">
        <v>0</v>
      </c>
      <c r="K16">
        <v>0</v>
      </c>
      <c r="N16" s="16" t="s">
        <v>164</v>
      </c>
      <c r="O16" t="s">
        <v>53</v>
      </c>
      <c r="P16" t="s">
        <v>167</v>
      </c>
      <c r="Q16">
        <v>32</v>
      </c>
    </row>
    <row r="17" spans="1:22" hidden="1" x14ac:dyDescent="0.3">
      <c r="A17" s="16" t="s">
        <v>170</v>
      </c>
      <c r="B17" t="s">
        <v>53</v>
      </c>
      <c r="C17" t="s">
        <v>171</v>
      </c>
      <c r="D17" t="s">
        <v>172</v>
      </c>
      <c r="E17" t="s">
        <v>56</v>
      </c>
      <c r="F17" t="s">
        <v>173</v>
      </c>
      <c r="G17">
        <v>80</v>
      </c>
      <c r="H17">
        <v>0</v>
      </c>
      <c r="I17">
        <v>0</v>
      </c>
      <c r="J17">
        <v>0</v>
      </c>
      <c r="K17">
        <v>0</v>
      </c>
      <c r="N17" s="16" t="s">
        <v>170</v>
      </c>
      <c r="O17" t="s">
        <v>53</v>
      </c>
      <c r="P17" t="s">
        <v>173</v>
      </c>
      <c r="Q17">
        <v>80</v>
      </c>
    </row>
    <row r="18" spans="1:22" hidden="1" x14ac:dyDescent="0.3">
      <c r="A18" s="16" t="s">
        <v>271</v>
      </c>
      <c r="B18" t="s">
        <v>53</v>
      </c>
      <c r="C18" s="18" t="s">
        <v>272</v>
      </c>
      <c r="D18" s="10" t="s">
        <v>273</v>
      </c>
      <c r="E18" t="s">
        <v>56</v>
      </c>
      <c r="F18" t="s">
        <v>274</v>
      </c>
      <c r="G18">
        <v>24</v>
      </c>
      <c r="H18">
        <v>0</v>
      </c>
      <c r="I18">
        <v>0</v>
      </c>
      <c r="J18">
        <v>0</v>
      </c>
      <c r="K18">
        <v>0</v>
      </c>
      <c r="N18" s="16" t="s">
        <v>271</v>
      </c>
      <c r="O18" t="s">
        <v>53</v>
      </c>
      <c r="P18" t="s">
        <v>274</v>
      </c>
      <c r="Q18">
        <v>24</v>
      </c>
    </row>
    <row r="19" spans="1:22" x14ac:dyDescent="0.3">
      <c r="A19" s="16" t="s">
        <v>275</v>
      </c>
      <c r="B19" t="s">
        <v>28</v>
      </c>
      <c r="C19" t="s">
        <v>276</v>
      </c>
      <c r="D19" t="s">
        <v>277</v>
      </c>
      <c r="E19" t="s">
        <v>279</v>
      </c>
      <c r="F19" t="s">
        <v>282</v>
      </c>
      <c r="G19">
        <v>100</v>
      </c>
      <c r="H19">
        <v>40</v>
      </c>
      <c r="I19">
        <v>20</v>
      </c>
      <c r="J19">
        <v>0</v>
      </c>
      <c r="K19">
        <v>0</v>
      </c>
      <c r="N19" s="25" t="s">
        <v>275</v>
      </c>
      <c r="O19" s="25" t="s">
        <v>28</v>
      </c>
      <c r="P19" s="25" t="s">
        <v>282</v>
      </c>
      <c r="Q19" s="25">
        <v>100</v>
      </c>
      <c r="R19" s="25" t="s">
        <v>544</v>
      </c>
      <c r="S19" s="25">
        <v>60</v>
      </c>
      <c r="T19" s="25" t="s">
        <v>546</v>
      </c>
      <c r="U19" s="35" t="s">
        <v>549</v>
      </c>
      <c r="V19" s="35" t="s">
        <v>550</v>
      </c>
    </row>
    <row r="20" spans="1:22" hidden="1" x14ac:dyDescent="0.3">
      <c r="A20" s="16" t="s">
        <v>275</v>
      </c>
      <c r="B20" t="s">
        <v>21</v>
      </c>
      <c r="C20" t="s">
        <v>276</v>
      </c>
      <c r="D20" t="s">
        <v>277</v>
      </c>
      <c r="E20" t="s">
        <v>279</v>
      </c>
      <c r="F20" t="s">
        <v>282</v>
      </c>
      <c r="G20">
        <v>30</v>
      </c>
      <c r="H20">
        <v>12</v>
      </c>
      <c r="I20">
        <v>6</v>
      </c>
      <c r="J20">
        <v>0</v>
      </c>
      <c r="K20">
        <v>0</v>
      </c>
      <c r="N20" s="25" t="s">
        <v>275</v>
      </c>
      <c r="O20" s="20" t="s">
        <v>21</v>
      </c>
      <c r="P20" s="20" t="s">
        <v>282</v>
      </c>
      <c r="Q20" s="20">
        <v>30</v>
      </c>
    </row>
    <row r="21" spans="1:22" hidden="1" x14ac:dyDescent="0.3">
      <c r="A21" s="16" t="s">
        <v>283</v>
      </c>
      <c r="B21" t="s">
        <v>28</v>
      </c>
      <c r="C21" s="18" t="s">
        <v>284</v>
      </c>
      <c r="D21" s="10" t="s">
        <v>285</v>
      </c>
      <c r="E21" t="s">
        <v>32</v>
      </c>
      <c r="F21" t="s">
        <v>286</v>
      </c>
      <c r="G21">
        <v>10</v>
      </c>
      <c r="H21">
        <v>4</v>
      </c>
      <c r="I21">
        <v>2</v>
      </c>
      <c r="J21">
        <v>0</v>
      </c>
      <c r="K21">
        <v>0</v>
      </c>
      <c r="N21" s="25" t="s">
        <v>283</v>
      </c>
      <c r="O21" s="20" t="s">
        <v>28</v>
      </c>
      <c r="P21" s="20" t="s">
        <v>286</v>
      </c>
      <c r="Q21" s="20">
        <v>10</v>
      </c>
    </row>
    <row r="22" spans="1:22" hidden="1" x14ac:dyDescent="0.3">
      <c r="A22" s="16" t="s">
        <v>298</v>
      </c>
      <c r="B22" t="s">
        <v>21</v>
      </c>
      <c r="C22" t="s">
        <v>299</v>
      </c>
      <c r="D22" t="s">
        <v>300</v>
      </c>
      <c r="E22" t="s">
        <v>301</v>
      </c>
      <c r="F22" t="s">
        <v>302</v>
      </c>
      <c r="G22">
        <v>20</v>
      </c>
      <c r="H22">
        <v>0</v>
      </c>
      <c r="I22">
        <v>0</v>
      </c>
      <c r="J22">
        <v>0</v>
      </c>
      <c r="K22">
        <v>0</v>
      </c>
      <c r="N22" s="25" t="s">
        <v>298</v>
      </c>
      <c r="O22" s="20" t="s">
        <v>21</v>
      </c>
      <c r="P22" s="20" t="s">
        <v>302</v>
      </c>
      <c r="Q22" s="20">
        <v>20</v>
      </c>
    </row>
    <row r="23" spans="1:22" hidden="1" x14ac:dyDescent="0.3">
      <c r="A23" s="16" t="s">
        <v>303</v>
      </c>
      <c r="B23" t="s">
        <v>21</v>
      </c>
      <c r="C23" t="s">
        <v>304</v>
      </c>
      <c r="D23" t="s">
        <v>305</v>
      </c>
      <c r="E23" t="s">
        <v>306</v>
      </c>
      <c r="F23" t="s">
        <v>307</v>
      </c>
      <c r="G23">
        <v>30</v>
      </c>
      <c r="H23">
        <v>12</v>
      </c>
      <c r="I23">
        <v>6</v>
      </c>
      <c r="J23">
        <v>0</v>
      </c>
      <c r="K23">
        <v>4</v>
      </c>
      <c r="N23" s="25" t="s">
        <v>303</v>
      </c>
      <c r="O23" s="20" t="s">
        <v>21</v>
      </c>
      <c r="P23" s="20" t="s">
        <v>307</v>
      </c>
      <c r="Q23" s="20">
        <v>30</v>
      </c>
    </row>
    <row r="24" spans="1:22" hidden="1" x14ac:dyDescent="0.3">
      <c r="A24" s="16" t="s">
        <v>330</v>
      </c>
      <c r="B24" t="s">
        <v>53</v>
      </c>
      <c r="C24" t="s">
        <v>331</v>
      </c>
      <c r="D24" t="s">
        <v>332</v>
      </c>
      <c r="E24" t="s">
        <v>56</v>
      </c>
      <c r="F24" t="s">
        <v>519</v>
      </c>
      <c r="G24">
        <v>15</v>
      </c>
      <c r="H24">
        <v>0</v>
      </c>
      <c r="I24">
        <v>0</v>
      </c>
      <c r="J24">
        <v>0</v>
      </c>
      <c r="K24">
        <v>0</v>
      </c>
      <c r="N24" s="16" t="s">
        <v>330</v>
      </c>
      <c r="O24" t="s">
        <v>53</v>
      </c>
      <c r="P24" t="s">
        <v>519</v>
      </c>
      <c r="Q24">
        <v>15</v>
      </c>
    </row>
    <row r="25" spans="1:22" hidden="1" x14ac:dyDescent="0.3">
      <c r="A25" s="16" t="s">
        <v>330</v>
      </c>
      <c r="B25" t="s">
        <v>53</v>
      </c>
      <c r="C25" t="s">
        <v>331</v>
      </c>
      <c r="D25" t="s">
        <v>332</v>
      </c>
      <c r="E25" t="s">
        <v>56</v>
      </c>
      <c r="F25" t="s">
        <v>333</v>
      </c>
      <c r="G25">
        <v>25</v>
      </c>
      <c r="H25">
        <v>0</v>
      </c>
      <c r="I25">
        <v>0</v>
      </c>
      <c r="J25">
        <v>0</v>
      </c>
      <c r="K25">
        <v>0</v>
      </c>
      <c r="N25" s="16" t="s">
        <v>330</v>
      </c>
      <c r="O25" t="s">
        <v>53</v>
      </c>
      <c r="P25" t="s">
        <v>333</v>
      </c>
      <c r="Q25">
        <v>25</v>
      </c>
    </row>
    <row r="26" spans="1:22" hidden="1" x14ac:dyDescent="0.3">
      <c r="A26" s="16" t="s">
        <v>330</v>
      </c>
      <c r="B26" t="s">
        <v>53</v>
      </c>
      <c r="C26" t="s">
        <v>331</v>
      </c>
      <c r="D26" t="s">
        <v>332</v>
      </c>
      <c r="E26" t="s">
        <v>56</v>
      </c>
      <c r="F26" t="s">
        <v>26</v>
      </c>
      <c r="G26">
        <v>25</v>
      </c>
      <c r="H26">
        <v>0</v>
      </c>
      <c r="I26">
        <v>0</v>
      </c>
      <c r="J26">
        <v>0</v>
      </c>
      <c r="K26">
        <v>0</v>
      </c>
      <c r="N26" s="16" t="s">
        <v>330</v>
      </c>
      <c r="O26" t="s">
        <v>53</v>
      </c>
      <c r="P26" t="s">
        <v>26</v>
      </c>
      <c r="Q26">
        <v>25</v>
      </c>
    </row>
    <row r="27" spans="1:22" hidden="1" x14ac:dyDescent="0.3">
      <c r="A27" s="16" t="s">
        <v>330</v>
      </c>
      <c r="B27" t="s">
        <v>53</v>
      </c>
      <c r="C27" t="s">
        <v>331</v>
      </c>
      <c r="D27" t="s">
        <v>332</v>
      </c>
      <c r="E27" t="s">
        <v>56</v>
      </c>
      <c r="F27" t="s">
        <v>268</v>
      </c>
      <c r="G27">
        <v>25</v>
      </c>
      <c r="H27">
        <v>0</v>
      </c>
      <c r="I27">
        <v>0</v>
      </c>
      <c r="J27">
        <v>0</v>
      </c>
      <c r="K27">
        <v>0</v>
      </c>
      <c r="N27" s="16" t="s">
        <v>330</v>
      </c>
      <c r="O27" t="s">
        <v>53</v>
      </c>
      <c r="P27" t="s">
        <v>268</v>
      </c>
      <c r="Q27">
        <v>25</v>
      </c>
    </row>
    <row r="28" spans="1:22" hidden="1" x14ac:dyDescent="0.3">
      <c r="A28" s="16" t="s">
        <v>330</v>
      </c>
      <c r="B28" t="s">
        <v>53</v>
      </c>
      <c r="C28" t="s">
        <v>331</v>
      </c>
      <c r="D28" t="s">
        <v>332</v>
      </c>
      <c r="E28" t="s">
        <v>56</v>
      </c>
      <c r="F28" t="s">
        <v>336</v>
      </c>
      <c r="G28">
        <v>25</v>
      </c>
      <c r="H28">
        <v>0</v>
      </c>
      <c r="I28">
        <v>0</v>
      </c>
      <c r="J28">
        <v>0</v>
      </c>
      <c r="K28">
        <v>0</v>
      </c>
      <c r="N28" s="16" t="s">
        <v>330</v>
      </c>
      <c r="O28" t="s">
        <v>53</v>
      </c>
      <c r="P28" t="s">
        <v>336</v>
      </c>
      <c r="Q28">
        <v>25</v>
      </c>
    </row>
    <row r="29" spans="1:22" hidden="1" x14ac:dyDescent="0.3">
      <c r="A29" s="16" t="s">
        <v>342</v>
      </c>
      <c r="B29" t="s">
        <v>53</v>
      </c>
      <c r="C29" s="18" t="s">
        <v>343</v>
      </c>
      <c r="D29" s="10" t="s">
        <v>344</v>
      </c>
      <c r="E29" t="s">
        <v>56</v>
      </c>
      <c r="F29" t="s">
        <v>321</v>
      </c>
      <c r="G29">
        <v>150</v>
      </c>
      <c r="H29">
        <v>0</v>
      </c>
      <c r="I29">
        <v>0</v>
      </c>
      <c r="J29">
        <v>0</v>
      </c>
      <c r="K29">
        <v>0</v>
      </c>
      <c r="N29" s="16" t="s">
        <v>342</v>
      </c>
      <c r="O29" t="s">
        <v>53</v>
      </c>
      <c r="P29" t="s">
        <v>321</v>
      </c>
      <c r="Q29">
        <v>150</v>
      </c>
    </row>
    <row r="30" spans="1:22" hidden="1" x14ac:dyDescent="0.3">
      <c r="A30" s="16" t="s">
        <v>345</v>
      </c>
      <c r="B30" t="s">
        <v>53</v>
      </c>
      <c r="C30" t="s">
        <v>346</v>
      </c>
      <c r="D30" t="s">
        <v>347</v>
      </c>
      <c r="E30" t="s">
        <v>56</v>
      </c>
      <c r="F30" t="s">
        <v>348</v>
      </c>
      <c r="G30">
        <v>10</v>
      </c>
      <c r="H30">
        <v>2</v>
      </c>
      <c r="I30">
        <v>0</v>
      </c>
      <c r="J30">
        <v>0</v>
      </c>
      <c r="K30">
        <v>0</v>
      </c>
      <c r="N30" s="16" t="s">
        <v>345</v>
      </c>
      <c r="O30" t="s">
        <v>53</v>
      </c>
      <c r="P30" t="s">
        <v>348</v>
      </c>
      <c r="Q30">
        <v>10</v>
      </c>
    </row>
    <row r="31" spans="1:22" hidden="1" x14ac:dyDescent="0.3">
      <c r="A31" s="16" t="s">
        <v>363</v>
      </c>
      <c r="B31" t="s">
        <v>28</v>
      </c>
      <c r="C31" t="s">
        <v>364</v>
      </c>
      <c r="D31" t="s">
        <v>365</v>
      </c>
      <c r="E31" t="s">
        <v>92</v>
      </c>
      <c r="F31" t="s">
        <v>538</v>
      </c>
      <c r="G31">
        <v>12</v>
      </c>
      <c r="H31">
        <v>4</v>
      </c>
      <c r="I31">
        <v>2</v>
      </c>
      <c r="J31">
        <v>2</v>
      </c>
      <c r="K31">
        <v>0</v>
      </c>
      <c r="N31" s="25" t="s">
        <v>363</v>
      </c>
      <c r="O31" s="20" t="s">
        <v>28</v>
      </c>
      <c r="P31" s="20" t="s">
        <v>538</v>
      </c>
      <c r="Q31" s="20">
        <v>12</v>
      </c>
    </row>
    <row r="32" spans="1:22" hidden="1" x14ac:dyDescent="0.3">
      <c r="A32" s="16" t="s">
        <v>384</v>
      </c>
      <c r="B32" t="s">
        <v>53</v>
      </c>
      <c r="C32" t="s">
        <v>385</v>
      </c>
      <c r="D32" t="s">
        <v>386</v>
      </c>
      <c r="E32" t="s">
        <v>56</v>
      </c>
      <c r="F32" t="s">
        <v>387</v>
      </c>
      <c r="G32">
        <v>24</v>
      </c>
      <c r="H32">
        <v>0</v>
      </c>
      <c r="I32">
        <v>0</v>
      </c>
      <c r="J32">
        <v>0</v>
      </c>
      <c r="K32">
        <v>0</v>
      </c>
      <c r="N32" s="16" t="s">
        <v>384</v>
      </c>
      <c r="O32" t="s">
        <v>53</v>
      </c>
      <c r="P32" t="s">
        <v>387</v>
      </c>
      <c r="Q32">
        <v>24</v>
      </c>
    </row>
    <row r="33" spans="1:22" hidden="1" x14ac:dyDescent="0.3">
      <c r="A33" s="16" t="s">
        <v>392</v>
      </c>
      <c r="B33" t="s">
        <v>21</v>
      </c>
      <c r="C33" s="18" t="s">
        <v>393</v>
      </c>
      <c r="D33" s="10" t="s">
        <v>394</v>
      </c>
      <c r="E33" t="s">
        <v>32</v>
      </c>
      <c r="F33" t="s">
        <v>395</v>
      </c>
      <c r="G33">
        <v>6</v>
      </c>
      <c r="H33">
        <v>2</v>
      </c>
      <c r="I33">
        <v>1</v>
      </c>
      <c r="J33">
        <v>2</v>
      </c>
      <c r="K33">
        <v>0</v>
      </c>
      <c r="N33" s="25" t="s">
        <v>392</v>
      </c>
      <c r="O33" s="20" t="s">
        <v>21</v>
      </c>
      <c r="P33" s="20" t="s">
        <v>395</v>
      </c>
      <c r="Q33" s="20">
        <v>6</v>
      </c>
    </row>
    <row r="34" spans="1:22" hidden="1" x14ac:dyDescent="0.3">
      <c r="A34" s="19" t="s">
        <v>396</v>
      </c>
      <c r="B34" t="s">
        <v>28</v>
      </c>
      <c r="C34" s="18" t="s">
        <v>397</v>
      </c>
      <c r="D34" s="10" t="s">
        <v>398</v>
      </c>
      <c r="E34" t="s">
        <v>279</v>
      </c>
      <c r="F34" t="s">
        <v>399</v>
      </c>
      <c r="G34">
        <v>21</v>
      </c>
      <c r="H34">
        <v>8</v>
      </c>
      <c r="I34">
        <v>4</v>
      </c>
      <c r="J34">
        <v>0</v>
      </c>
      <c r="K34">
        <v>0</v>
      </c>
      <c r="N34" s="26" t="s">
        <v>396</v>
      </c>
      <c r="O34" s="20" t="s">
        <v>28</v>
      </c>
      <c r="P34" s="20" t="s">
        <v>399</v>
      </c>
      <c r="Q34" s="20">
        <v>21</v>
      </c>
    </row>
    <row r="35" spans="1:22" hidden="1" x14ac:dyDescent="0.3">
      <c r="A35" s="19" t="s">
        <v>396</v>
      </c>
      <c r="B35" t="s">
        <v>28</v>
      </c>
      <c r="C35" s="18" t="s">
        <v>397</v>
      </c>
      <c r="D35" s="10" t="s">
        <v>398</v>
      </c>
      <c r="E35" t="s">
        <v>279</v>
      </c>
      <c r="F35" t="s">
        <v>400</v>
      </c>
      <c r="G35">
        <v>9</v>
      </c>
      <c r="H35">
        <v>4</v>
      </c>
      <c r="I35">
        <v>2</v>
      </c>
      <c r="J35">
        <v>0</v>
      </c>
      <c r="K35">
        <v>0</v>
      </c>
      <c r="N35" s="32" t="s">
        <v>396</v>
      </c>
      <c r="O35" s="31" t="s">
        <v>28</v>
      </c>
      <c r="P35" s="31" t="s">
        <v>400</v>
      </c>
      <c r="Q35" s="31">
        <v>9</v>
      </c>
    </row>
    <row r="36" spans="1:22" x14ac:dyDescent="0.3">
      <c r="A36" s="16" t="s">
        <v>425</v>
      </c>
      <c r="B36" t="s">
        <v>28</v>
      </c>
      <c r="C36" t="s">
        <v>426</v>
      </c>
      <c r="D36" t="s">
        <v>427</v>
      </c>
      <c r="E36" t="s">
        <v>25</v>
      </c>
      <c r="F36" t="s">
        <v>428</v>
      </c>
      <c r="G36">
        <v>13</v>
      </c>
      <c r="H36">
        <v>0</v>
      </c>
      <c r="I36">
        <v>0</v>
      </c>
      <c r="J36">
        <v>0</v>
      </c>
      <c r="K36">
        <v>0</v>
      </c>
      <c r="N36" s="25" t="s">
        <v>425</v>
      </c>
      <c r="O36" s="25" t="s">
        <v>28</v>
      </c>
      <c r="P36" s="25" t="s">
        <v>428</v>
      </c>
      <c r="Q36" s="25">
        <v>13</v>
      </c>
      <c r="R36" s="20" t="s">
        <v>544</v>
      </c>
      <c r="S36" s="25">
        <v>6</v>
      </c>
      <c r="T36" s="25"/>
      <c r="U36" s="16" t="s">
        <v>551</v>
      </c>
      <c r="V36" s="16" t="s">
        <v>552</v>
      </c>
    </row>
    <row r="37" spans="1:22" x14ac:dyDescent="0.3">
      <c r="A37" s="16" t="s">
        <v>435</v>
      </c>
      <c r="B37" t="s">
        <v>28</v>
      </c>
      <c r="C37" s="18" t="s">
        <v>436</v>
      </c>
      <c r="D37" s="10" t="s">
        <v>437</v>
      </c>
      <c r="E37" t="s">
        <v>32</v>
      </c>
      <c r="F37" t="s">
        <v>438</v>
      </c>
      <c r="G37">
        <v>19</v>
      </c>
      <c r="H37">
        <v>6</v>
      </c>
      <c r="I37">
        <v>3</v>
      </c>
      <c r="J37">
        <v>0</v>
      </c>
      <c r="K37">
        <v>2</v>
      </c>
      <c r="N37" s="24" t="s">
        <v>435</v>
      </c>
      <c r="O37" s="24" t="s">
        <v>28</v>
      </c>
      <c r="P37" s="24" t="s">
        <v>438</v>
      </c>
      <c r="Q37" s="24">
        <v>19</v>
      </c>
      <c r="R37" s="24" t="s">
        <v>544</v>
      </c>
      <c r="S37" s="24"/>
      <c r="T37" s="24" t="s">
        <v>553</v>
      </c>
    </row>
    <row r="38" spans="1:22" hidden="1" x14ac:dyDescent="0.3">
      <c r="A38" s="16" t="s">
        <v>446</v>
      </c>
      <c r="B38" t="s">
        <v>28</v>
      </c>
      <c r="C38" t="s">
        <v>447</v>
      </c>
      <c r="D38" t="s">
        <v>448</v>
      </c>
      <c r="E38" t="s">
        <v>38</v>
      </c>
      <c r="F38" t="s">
        <v>449</v>
      </c>
      <c r="G38">
        <v>10</v>
      </c>
      <c r="H38">
        <v>4</v>
      </c>
      <c r="I38">
        <v>2</v>
      </c>
      <c r="J38">
        <v>0</v>
      </c>
      <c r="K38">
        <v>2</v>
      </c>
      <c r="N38" s="25" t="s">
        <v>446</v>
      </c>
      <c r="O38" s="20" t="s">
        <v>28</v>
      </c>
      <c r="P38" s="20" t="s">
        <v>449</v>
      </c>
      <c r="Q38" s="20">
        <v>10</v>
      </c>
    </row>
    <row r="39" spans="1:22" hidden="1" x14ac:dyDescent="0.3">
      <c r="A39" s="16" t="s">
        <v>450</v>
      </c>
      <c r="B39" t="s">
        <v>28</v>
      </c>
      <c r="C39" t="s">
        <v>451</v>
      </c>
      <c r="D39" t="s">
        <v>452</v>
      </c>
      <c r="E39" t="s">
        <v>38</v>
      </c>
      <c r="F39" t="s">
        <v>453</v>
      </c>
      <c r="G39">
        <v>35</v>
      </c>
      <c r="H39">
        <v>12</v>
      </c>
      <c r="I39">
        <v>6</v>
      </c>
      <c r="J39">
        <v>0</v>
      </c>
      <c r="K39">
        <v>5</v>
      </c>
      <c r="N39" s="25" t="s">
        <v>450</v>
      </c>
      <c r="O39" s="20" t="s">
        <v>28</v>
      </c>
      <c r="P39" s="20" t="s">
        <v>453</v>
      </c>
      <c r="Q39" s="20">
        <v>35</v>
      </c>
    </row>
    <row r="40" spans="1:22" hidden="1" x14ac:dyDescent="0.3">
      <c r="A40" s="16" t="s">
        <v>467</v>
      </c>
      <c r="B40" t="s">
        <v>53</v>
      </c>
      <c r="C40" t="s">
        <v>468</v>
      </c>
      <c r="D40" t="s">
        <v>469</v>
      </c>
      <c r="E40" t="s">
        <v>56</v>
      </c>
      <c r="F40" t="s">
        <v>470</v>
      </c>
      <c r="G40">
        <v>16</v>
      </c>
      <c r="H40">
        <v>0</v>
      </c>
      <c r="I40">
        <v>0</v>
      </c>
      <c r="J40">
        <v>0</v>
      </c>
      <c r="K40">
        <v>0</v>
      </c>
      <c r="N40" s="16" t="s">
        <v>467</v>
      </c>
      <c r="O40" t="s">
        <v>53</v>
      </c>
      <c r="P40" t="s">
        <v>470</v>
      </c>
      <c r="Q40">
        <v>16</v>
      </c>
    </row>
    <row r="41" spans="1:22" x14ac:dyDescent="0.3">
      <c r="A41" s="16" t="s">
        <v>488</v>
      </c>
      <c r="B41" t="s">
        <v>28</v>
      </c>
      <c r="C41" t="s">
        <v>489</v>
      </c>
      <c r="D41" t="s">
        <v>490</v>
      </c>
      <c r="E41" t="s">
        <v>155</v>
      </c>
      <c r="F41" t="s">
        <v>492</v>
      </c>
      <c r="G41">
        <v>9</v>
      </c>
      <c r="H41">
        <v>3</v>
      </c>
      <c r="I41">
        <v>1</v>
      </c>
      <c r="J41">
        <v>0</v>
      </c>
      <c r="K41">
        <v>1</v>
      </c>
      <c r="N41" s="24" t="s">
        <v>488</v>
      </c>
      <c r="O41" s="24" t="s">
        <v>28</v>
      </c>
      <c r="P41" s="24" t="s">
        <v>492</v>
      </c>
      <c r="Q41" s="24">
        <v>9</v>
      </c>
      <c r="R41" s="24" t="s">
        <v>544</v>
      </c>
      <c r="S41" s="24">
        <v>0</v>
      </c>
      <c r="T41" s="24" t="s">
        <v>545</v>
      </c>
      <c r="U41" s="35" t="s">
        <v>554</v>
      </c>
    </row>
    <row r="42" spans="1:22" x14ac:dyDescent="0.3">
      <c r="A42" s="16" t="s">
        <v>488</v>
      </c>
      <c r="B42" t="s">
        <v>28</v>
      </c>
      <c r="C42" t="s">
        <v>489</v>
      </c>
      <c r="D42" t="s">
        <v>490</v>
      </c>
      <c r="E42" t="s">
        <v>155</v>
      </c>
      <c r="F42" t="s">
        <v>491</v>
      </c>
      <c r="G42">
        <v>9</v>
      </c>
      <c r="H42">
        <v>3</v>
      </c>
      <c r="I42">
        <v>1</v>
      </c>
      <c r="J42">
        <v>0</v>
      </c>
      <c r="K42">
        <v>1</v>
      </c>
      <c r="N42" s="24" t="s">
        <v>488</v>
      </c>
      <c r="O42" s="24" t="s">
        <v>28</v>
      </c>
      <c r="P42" s="24" t="s">
        <v>491</v>
      </c>
      <c r="Q42" s="24">
        <v>9</v>
      </c>
      <c r="R42" s="24" t="s">
        <v>544</v>
      </c>
      <c r="S42" s="24">
        <v>0</v>
      </c>
      <c r="T42" s="24" t="s">
        <v>545</v>
      </c>
    </row>
    <row r="43" spans="1:22" hidden="1" x14ac:dyDescent="0.3">
      <c r="A43" s="16" t="s">
        <v>500</v>
      </c>
      <c r="B43" t="s">
        <v>53</v>
      </c>
      <c r="C43" s="10" t="s">
        <v>501</v>
      </c>
      <c r="D43" s="10" t="s">
        <v>502</v>
      </c>
      <c r="E43" t="s">
        <v>56</v>
      </c>
      <c r="F43" t="s">
        <v>503</v>
      </c>
      <c r="G43">
        <v>21</v>
      </c>
      <c r="H43">
        <v>0</v>
      </c>
      <c r="I43">
        <v>0</v>
      </c>
      <c r="J43">
        <v>0</v>
      </c>
      <c r="K43">
        <v>0</v>
      </c>
      <c r="N43" s="16" t="s">
        <v>500</v>
      </c>
      <c r="O43" t="s">
        <v>53</v>
      </c>
      <c r="P43" t="s">
        <v>503</v>
      </c>
      <c r="Q43">
        <v>21</v>
      </c>
    </row>
    <row r="44" spans="1:22" x14ac:dyDescent="0.3">
      <c r="N44" s="20"/>
      <c r="O44" s="20"/>
      <c r="P44" s="21" t="s">
        <v>511</v>
      </c>
      <c r="Q44" s="20">
        <f>SUBTOTAL(9,Q2:Q43)</f>
        <v>265</v>
      </c>
      <c r="S44">
        <f>SUBTOTAL(9,S4:S43)</f>
        <v>80</v>
      </c>
    </row>
    <row r="46" spans="1:22" x14ac:dyDescent="0.3">
      <c r="N46" t="s">
        <v>556</v>
      </c>
      <c r="Q46">
        <v>26</v>
      </c>
    </row>
    <row r="47" spans="1:22" x14ac:dyDescent="0.3">
      <c r="N47" t="s">
        <v>183</v>
      </c>
      <c r="P47" t="s">
        <v>557</v>
      </c>
      <c r="Q47">
        <v>35</v>
      </c>
      <c r="T47" t="s">
        <v>558</v>
      </c>
    </row>
  </sheetData>
  <autoFilter ref="A1:Q43" xr:uid="{6039CEDD-526A-45B2-AB17-340C67CD0AC1}">
    <filterColumn colId="14">
      <filters>
        <filter val="Non-Union"/>
        <filter val="Union"/>
      </filters>
    </filterColumn>
    <filterColumn colId="16">
      <colorFilter dxfId="1"/>
    </filterColumn>
  </autoFilter>
  <hyperlinks>
    <hyperlink ref="C34" r:id="rId1" xr:uid="{20B3DB2F-0E34-4429-9F75-48AEE26E276D}"/>
    <hyperlink ref="C35" r:id="rId2" xr:uid="{E7248A3D-58A6-41B8-B7D1-E8F901DFD3D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183B-4F99-4F4E-9379-F4327EFEFC95}">
  <dimension ref="A1:D33"/>
  <sheetViews>
    <sheetView workbookViewId="0">
      <selection activeCell="M32" sqref="M32"/>
    </sheetView>
  </sheetViews>
  <sheetFormatPr defaultRowHeight="14.4" x14ac:dyDescent="0.3"/>
  <cols>
    <col min="1" max="1" width="28.44140625" customWidth="1"/>
    <col min="2" max="2" width="20.5546875" customWidth="1"/>
    <col min="3" max="3" width="6.109375" bestFit="1" customWidth="1"/>
    <col min="4" max="4" width="30.33203125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559</v>
      </c>
    </row>
    <row r="2" spans="1:4" x14ac:dyDescent="0.3">
      <c r="A2" s="16" t="s">
        <v>83</v>
      </c>
      <c r="B2" t="s">
        <v>521</v>
      </c>
      <c r="C2">
        <v>20</v>
      </c>
      <c r="D2" s="16">
        <v>2</v>
      </c>
    </row>
    <row r="3" spans="1:4" x14ac:dyDescent="0.3">
      <c r="A3" s="16" t="s">
        <v>488</v>
      </c>
      <c r="B3" t="s">
        <v>491</v>
      </c>
      <c r="C3">
        <v>9</v>
      </c>
      <c r="D3" s="16">
        <v>4</v>
      </c>
    </row>
    <row r="4" spans="1:4" x14ac:dyDescent="0.3">
      <c r="A4" s="16" t="s">
        <v>45</v>
      </c>
      <c r="B4" t="s">
        <v>46</v>
      </c>
      <c r="C4">
        <v>55</v>
      </c>
      <c r="D4" s="16">
        <v>4</v>
      </c>
    </row>
    <row r="5" spans="1:4" x14ac:dyDescent="0.3">
      <c r="A5" s="16" t="s">
        <v>152</v>
      </c>
      <c r="B5" t="s">
        <v>156</v>
      </c>
      <c r="C5">
        <v>30</v>
      </c>
      <c r="D5" s="16">
        <v>5</v>
      </c>
    </row>
    <row r="6" spans="1:4" x14ac:dyDescent="0.3">
      <c r="A6" s="16" t="s">
        <v>275</v>
      </c>
      <c r="B6" t="s">
        <v>282</v>
      </c>
      <c r="C6">
        <v>100</v>
      </c>
      <c r="D6" s="16">
        <v>5</v>
      </c>
    </row>
    <row r="7" spans="1:4" x14ac:dyDescent="0.3">
      <c r="A7" s="16" t="s">
        <v>425</v>
      </c>
      <c r="B7" t="s">
        <v>428</v>
      </c>
      <c r="C7">
        <v>13</v>
      </c>
      <c r="D7" s="16">
        <v>5</v>
      </c>
    </row>
    <row r="8" spans="1:4" x14ac:dyDescent="0.3">
      <c r="A8" s="16" t="s">
        <v>275</v>
      </c>
      <c r="B8" t="s">
        <v>282</v>
      </c>
      <c r="C8">
        <v>30</v>
      </c>
      <c r="D8" s="16">
        <v>5</v>
      </c>
    </row>
    <row r="9" spans="1:4" x14ac:dyDescent="0.3">
      <c r="A9" s="16" t="s">
        <v>298</v>
      </c>
      <c r="B9" t="s">
        <v>302</v>
      </c>
      <c r="C9">
        <v>20</v>
      </c>
      <c r="D9" s="16">
        <v>5</v>
      </c>
    </row>
    <row r="10" spans="1:4" x14ac:dyDescent="0.3">
      <c r="A10" s="16" t="s">
        <v>103</v>
      </c>
      <c r="B10" t="s">
        <v>106</v>
      </c>
      <c r="C10">
        <v>13</v>
      </c>
      <c r="D10" s="16">
        <v>6</v>
      </c>
    </row>
    <row r="11" spans="1:4" x14ac:dyDescent="0.3">
      <c r="A11" s="16" t="s">
        <v>159</v>
      </c>
      <c r="B11" t="s">
        <v>163</v>
      </c>
      <c r="C11">
        <v>17</v>
      </c>
      <c r="D11" s="16">
        <v>6</v>
      </c>
    </row>
    <row r="12" spans="1:4" x14ac:dyDescent="0.3">
      <c r="A12" s="19" t="s">
        <v>396</v>
      </c>
      <c r="B12" t="s">
        <v>399</v>
      </c>
      <c r="C12">
        <v>21</v>
      </c>
      <c r="D12" s="16">
        <v>6</v>
      </c>
    </row>
    <row r="13" spans="1:4" x14ac:dyDescent="0.3">
      <c r="A13" s="16" t="s">
        <v>488</v>
      </c>
      <c r="B13" t="s">
        <v>492</v>
      </c>
      <c r="C13">
        <v>9</v>
      </c>
      <c r="D13" s="16">
        <v>6</v>
      </c>
    </row>
    <row r="14" spans="1:4" x14ac:dyDescent="0.3">
      <c r="A14" s="16" t="s">
        <v>58</v>
      </c>
      <c r="B14" t="s">
        <v>61</v>
      </c>
      <c r="C14">
        <v>30</v>
      </c>
      <c r="D14" s="16">
        <v>6</v>
      </c>
    </row>
    <row r="15" spans="1:4" x14ac:dyDescent="0.3">
      <c r="A15" s="13" t="s">
        <v>87</v>
      </c>
      <c r="B15" t="s">
        <v>88</v>
      </c>
      <c r="C15">
        <v>32</v>
      </c>
      <c r="D15" s="3">
        <v>7</v>
      </c>
    </row>
    <row r="16" spans="1:4" x14ac:dyDescent="0.3">
      <c r="A16" s="16" t="s">
        <v>134</v>
      </c>
      <c r="B16" t="s">
        <v>138</v>
      </c>
      <c r="C16">
        <v>20</v>
      </c>
      <c r="D16" s="3">
        <v>8</v>
      </c>
    </row>
    <row r="17" spans="1:4" x14ac:dyDescent="0.3">
      <c r="A17" s="16" t="s">
        <v>363</v>
      </c>
      <c r="B17" t="s">
        <v>366</v>
      </c>
      <c r="C17">
        <v>12</v>
      </c>
      <c r="D17" s="3">
        <v>8</v>
      </c>
    </row>
    <row r="18" spans="1:4" x14ac:dyDescent="0.3">
      <c r="A18" s="16" t="s">
        <v>435</v>
      </c>
      <c r="B18" t="s">
        <v>438</v>
      </c>
      <c r="C18">
        <v>19</v>
      </c>
      <c r="D18" s="3">
        <v>8</v>
      </c>
    </row>
    <row r="19" spans="1:4" x14ac:dyDescent="0.3">
      <c r="A19" s="16" t="s">
        <v>450</v>
      </c>
      <c r="B19" t="s">
        <v>453</v>
      </c>
      <c r="C19">
        <v>35</v>
      </c>
      <c r="D19" s="3">
        <v>8</v>
      </c>
    </row>
    <row r="20" spans="1:4" x14ac:dyDescent="0.3">
      <c r="A20" s="19" t="s">
        <v>396</v>
      </c>
      <c r="B20" t="s">
        <v>400</v>
      </c>
      <c r="C20">
        <v>9</v>
      </c>
      <c r="D20" s="3">
        <v>9</v>
      </c>
    </row>
    <row r="21" spans="1:4" x14ac:dyDescent="0.3">
      <c r="A21" s="16" t="s">
        <v>446</v>
      </c>
      <c r="B21" t="s">
        <v>449</v>
      </c>
      <c r="C21">
        <v>10</v>
      </c>
      <c r="D21" s="3">
        <v>9</v>
      </c>
    </row>
    <row r="22" spans="1:4" x14ac:dyDescent="0.3">
      <c r="A22" s="16" t="s">
        <v>392</v>
      </c>
      <c r="B22" t="s">
        <v>395</v>
      </c>
      <c r="C22">
        <v>6</v>
      </c>
      <c r="D22" s="3">
        <v>9</v>
      </c>
    </row>
    <row r="23" spans="1:4" x14ac:dyDescent="0.3">
      <c r="A23" s="16" t="s">
        <v>27</v>
      </c>
      <c r="B23" t="s">
        <v>33</v>
      </c>
      <c r="C23">
        <v>13</v>
      </c>
      <c r="D23" s="3">
        <v>10</v>
      </c>
    </row>
    <row r="24" spans="1:4" x14ac:dyDescent="0.3">
      <c r="A24" s="16" t="s">
        <v>303</v>
      </c>
      <c r="B24" t="s">
        <v>307</v>
      </c>
      <c r="C24">
        <v>30</v>
      </c>
      <c r="D24" s="3">
        <v>10</v>
      </c>
    </row>
    <row r="25" spans="1:4" x14ac:dyDescent="0.3">
      <c r="A25" s="16" t="s">
        <v>27</v>
      </c>
      <c r="B25" t="s">
        <v>34</v>
      </c>
      <c r="C25">
        <v>13</v>
      </c>
      <c r="D25" s="3">
        <v>11</v>
      </c>
    </row>
    <row r="26" spans="1:4" x14ac:dyDescent="0.3">
      <c r="A26" s="16" t="s">
        <v>120</v>
      </c>
      <c r="B26" t="s">
        <v>123</v>
      </c>
      <c r="C26">
        <v>7</v>
      </c>
      <c r="D26" s="3">
        <v>11</v>
      </c>
    </row>
    <row r="27" spans="1:4" x14ac:dyDescent="0.3">
      <c r="A27" s="16" t="s">
        <v>124</v>
      </c>
      <c r="B27" t="s">
        <v>34</v>
      </c>
      <c r="C27">
        <v>6</v>
      </c>
      <c r="D27" s="3">
        <v>11</v>
      </c>
    </row>
    <row r="28" spans="1:4" x14ac:dyDescent="0.3">
      <c r="A28" s="16" t="s">
        <v>283</v>
      </c>
      <c r="B28" t="s">
        <v>286</v>
      </c>
      <c r="C28">
        <v>10</v>
      </c>
      <c r="D28" s="3">
        <v>12</v>
      </c>
    </row>
    <row r="29" spans="1:4" x14ac:dyDescent="0.3">
      <c r="A29" s="16" t="s">
        <v>146</v>
      </c>
      <c r="B29" t="s">
        <v>242</v>
      </c>
      <c r="C29">
        <v>75</v>
      </c>
      <c r="D29" s="7">
        <v>23</v>
      </c>
    </row>
    <row r="30" spans="1:4" x14ac:dyDescent="0.3">
      <c r="A30" s="17" t="s">
        <v>146</v>
      </c>
      <c r="B30" t="s">
        <v>150</v>
      </c>
      <c r="C30">
        <v>75</v>
      </c>
      <c r="D30" s="7">
        <v>25</v>
      </c>
    </row>
    <row r="33" spans="2:3" x14ac:dyDescent="0.3">
      <c r="B33" s="3" t="s">
        <v>560</v>
      </c>
      <c r="C33" s="3">
        <f>SUM(C2:C30)</f>
        <v>739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5578-82BF-4EE0-A865-4A96726A0C98}">
  <sheetPr filterMode="1"/>
  <dimension ref="A1:R1048493"/>
  <sheetViews>
    <sheetView zoomScale="145" zoomScaleNormal="145" workbookViewId="0">
      <selection activeCell="A1048494" sqref="A1048494"/>
    </sheetView>
  </sheetViews>
  <sheetFormatPr defaultRowHeight="14.4" x14ac:dyDescent="0.3"/>
  <cols>
    <col min="1" max="1" width="41.33203125" bestFit="1" customWidth="1"/>
    <col min="4" max="6" width="0" hidden="1" customWidth="1"/>
    <col min="7" max="7" width="17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hidden="1" x14ac:dyDescent="0.3">
      <c r="A2" s="16" t="s">
        <v>27</v>
      </c>
      <c r="B2" t="s">
        <v>28</v>
      </c>
      <c r="C2" t="s">
        <v>29</v>
      </c>
      <c r="D2" s="18" t="s">
        <v>30</v>
      </c>
      <c r="E2" s="10" t="s">
        <v>31</v>
      </c>
      <c r="F2" t="s">
        <v>32</v>
      </c>
      <c r="G2" t="s">
        <v>34</v>
      </c>
      <c r="H2">
        <v>13</v>
      </c>
      <c r="I2">
        <v>6</v>
      </c>
      <c r="J2">
        <v>3</v>
      </c>
      <c r="K2">
        <v>0</v>
      </c>
      <c r="L2">
        <v>1</v>
      </c>
    </row>
    <row r="3" spans="1:18" hidden="1" x14ac:dyDescent="0.3">
      <c r="A3" s="16" t="s">
        <v>27</v>
      </c>
      <c r="B3" t="s">
        <v>28</v>
      </c>
      <c r="C3" t="s">
        <v>29</v>
      </c>
      <c r="D3" s="18" t="s">
        <v>30</v>
      </c>
      <c r="E3" s="10" t="s">
        <v>31</v>
      </c>
      <c r="F3" t="s">
        <v>32</v>
      </c>
      <c r="G3" t="s">
        <v>33</v>
      </c>
      <c r="H3">
        <v>13</v>
      </c>
      <c r="I3">
        <v>6</v>
      </c>
      <c r="J3">
        <v>3</v>
      </c>
      <c r="K3">
        <v>0</v>
      </c>
      <c r="L3">
        <v>1</v>
      </c>
    </row>
    <row r="4" spans="1:18" x14ac:dyDescent="0.3">
      <c r="A4" s="16" t="s">
        <v>45</v>
      </c>
      <c r="B4" t="s">
        <v>21</v>
      </c>
      <c r="C4" t="s">
        <v>22</v>
      </c>
      <c r="D4" s="10" t="s">
        <v>41</v>
      </c>
      <c r="E4" s="10" t="s">
        <v>42</v>
      </c>
      <c r="F4" t="s">
        <v>43</v>
      </c>
      <c r="G4" t="s">
        <v>46</v>
      </c>
      <c r="H4">
        <v>55</v>
      </c>
      <c r="I4">
        <v>20</v>
      </c>
      <c r="J4">
        <v>9</v>
      </c>
      <c r="K4">
        <v>0</v>
      </c>
      <c r="L4">
        <v>2</v>
      </c>
      <c r="R4" s="1"/>
    </row>
    <row r="5" spans="1:18" hidden="1" x14ac:dyDescent="0.3">
      <c r="A5" s="16" t="s">
        <v>52</v>
      </c>
      <c r="B5" t="s">
        <v>53</v>
      </c>
      <c r="C5" t="s">
        <v>29</v>
      </c>
      <c r="D5" s="10" t="s">
        <v>54</v>
      </c>
      <c r="F5" t="s">
        <v>56</v>
      </c>
      <c r="G5" t="s">
        <v>513</v>
      </c>
      <c r="H5">
        <v>17</v>
      </c>
      <c r="I5">
        <v>0</v>
      </c>
      <c r="J5">
        <v>0</v>
      </c>
      <c r="K5">
        <v>0</v>
      </c>
      <c r="L5">
        <v>0</v>
      </c>
    </row>
    <row r="6" spans="1:18" hidden="1" x14ac:dyDescent="0.3">
      <c r="A6" s="16" t="s">
        <v>58</v>
      </c>
      <c r="B6" t="s">
        <v>21</v>
      </c>
      <c r="C6" t="s">
        <v>29</v>
      </c>
      <c r="D6" s="18" t="s">
        <v>59</v>
      </c>
      <c r="E6" s="10" t="s">
        <v>60</v>
      </c>
      <c r="F6" t="s">
        <v>25</v>
      </c>
      <c r="G6" t="s">
        <v>61</v>
      </c>
      <c r="H6">
        <v>30</v>
      </c>
      <c r="I6">
        <v>15</v>
      </c>
      <c r="J6">
        <v>5</v>
      </c>
      <c r="K6">
        <v>0</v>
      </c>
      <c r="L6">
        <v>0</v>
      </c>
      <c r="M6" s="3">
        <v>10</v>
      </c>
      <c r="R6" s="1"/>
    </row>
    <row r="7" spans="1:18" hidden="1" x14ac:dyDescent="0.3">
      <c r="A7" s="16" t="s">
        <v>70</v>
      </c>
      <c r="B7" t="s">
        <v>53</v>
      </c>
      <c r="C7" t="s">
        <v>29</v>
      </c>
      <c r="D7" t="s">
        <v>71</v>
      </c>
      <c r="E7" t="s">
        <v>72</v>
      </c>
      <c r="F7" t="s">
        <v>56</v>
      </c>
      <c r="G7" t="s">
        <v>73</v>
      </c>
      <c r="H7">
        <v>15</v>
      </c>
      <c r="I7">
        <v>0</v>
      </c>
      <c r="J7">
        <v>0</v>
      </c>
      <c r="K7">
        <v>0</v>
      </c>
      <c r="L7">
        <v>0</v>
      </c>
      <c r="N7">
        <v>20</v>
      </c>
      <c r="Q7">
        <v>15</v>
      </c>
      <c r="R7" s="1"/>
    </row>
    <row r="8" spans="1:18" s="33" customFormat="1" x14ac:dyDescent="0.3">
      <c r="A8" s="33" t="s">
        <v>83</v>
      </c>
      <c r="B8" s="33" t="s">
        <v>21</v>
      </c>
      <c r="C8" s="33" t="s">
        <v>22</v>
      </c>
      <c r="D8" s="18" t="s">
        <v>84</v>
      </c>
      <c r="E8" s="10" t="s">
        <v>85</v>
      </c>
      <c r="F8" t="s">
        <v>25</v>
      </c>
      <c r="G8" s="33" t="s">
        <v>521</v>
      </c>
      <c r="H8" s="33">
        <v>20</v>
      </c>
      <c r="I8" s="33">
        <v>10</v>
      </c>
      <c r="J8" s="33">
        <v>4</v>
      </c>
      <c r="K8" s="33">
        <v>0</v>
      </c>
      <c r="L8" s="33">
        <v>0</v>
      </c>
      <c r="R8" s="34"/>
    </row>
    <row r="9" spans="1:18" s="33" customFormat="1" x14ac:dyDescent="0.3">
      <c r="A9" s="33" t="s">
        <v>83</v>
      </c>
      <c r="B9" s="33" t="s">
        <v>21</v>
      </c>
      <c r="C9" s="33" t="s">
        <v>22</v>
      </c>
      <c r="D9" s="18" t="s">
        <v>84</v>
      </c>
      <c r="E9" s="10" t="s">
        <v>85</v>
      </c>
      <c r="F9" t="s">
        <v>25</v>
      </c>
      <c r="G9" s="33" t="s">
        <v>88</v>
      </c>
      <c r="H9" s="33">
        <v>32</v>
      </c>
      <c r="I9" s="33">
        <v>10</v>
      </c>
      <c r="J9" s="33">
        <v>5</v>
      </c>
      <c r="K9" s="33">
        <v>0</v>
      </c>
      <c r="L9" s="33">
        <v>1</v>
      </c>
      <c r="R9" s="34"/>
    </row>
    <row r="10" spans="1:18" x14ac:dyDescent="0.3">
      <c r="A10" s="16" t="s">
        <v>103</v>
      </c>
      <c r="B10" t="s">
        <v>28</v>
      </c>
      <c r="C10" t="s">
        <v>22</v>
      </c>
      <c r="D10" s="18" t="s">
        <v>104</v>
      </c>
      <c r="E10" s="10" t="s">
        <v>105</v>
      </c>
      <c r="F10" t="s">
        <v>43</v>
      </c>
      <c r="G10" t="s">
        <v>106</v>
      </c>
      <c r="H10">
        <v>13</v>
      </c>
      <c r="I10">
        <v>4</v>
      </c>
      <c r="J10">
        <v>2</v>
      </c>
      <c r="K10">
        <v>0</v>
      </c>
      <c r="L10">
        <v>1</v>
      </c>
    </row>
    <row r="11" spans="1:18" x14ac:dyDescent="0.3">
      <c r="A11" s="16" t="s">
        <v>120</v>
      </c>
      <c r="B11" t="s">
        <v>28</v>
      </c>
      <c r="C11" t="s">
        <v>22</v>
      </c>
      <c r="D11" s="18" t="s">
        <v>121</v>
      </c>
      <c r="E11" s="10" t="s">
        <v>122</v>
      </c>
      <c r="F11" t="s">
        <v>32</v>
      </c>
      <c r="G11" t="s">
        <v>123</v>
      </c>
      <c r="H11">
        <v>7</v>
      </c>
      <c r="I11">
        <v>2</v>
      </c>
      <c r="J11">
        <v>1</v>
      </c>
      <c r="K11">
        <v>0</v>
      </c>
      <c r="L11">
        <v>0</v>
      </c>
    </row>
    <row r="12" spans="1:18" x14ac:dyDescent="0.3">
      <c r="A12" s="16" t="s">
        <v>124</v>
      </c>
      <c r="B12" t="s">
        <v>28</v>
      </c>
      <c r="C12" t="s">
        <v>22</v>
      </c>
      <c r="D12" s="18" t="s">
        <v>121</v>
      </c>
      <c r="E12" s="10" t="s">
        <v>122</v>
      </c>
      <c r="F12" t="s">
        <v>32</v>
      </c>
      <c r="G12" t="s">
        <v>34</v>
      </c>
      <c r="H12">
        <v>6</v>
      </c>
      <c r="I12">
        <v>2</v>
      </c>
      <c r="J12">
        <v>1</v>
      </c>
      <c r="K12">
        <v>0</v>
      </c>
      <c r="L12">
        <v>0</v>
      </c>
    </row>
    <row r="13" spans="1:18" hidden="1" x14ac:dyDescent="0.3">
      <c r="A13" s="16" t="s">
        <v>134</v>
      </c>
      <c r="B13" t="s">
        <v>28</v>
      </c>
      <c r="C13" t="s">
        <v>29</v>
      </c>
      <c r="D13" t="s">
        <v>135</v>
      </c>
      <c r="E13" t="s">
        <v>136</v>
      </c>
      <c r="F13" t="s">
        <v>137</v>
      </c>
      <c r="G13" t="s">
        <v>138</v>
      </c>
      <c r="H13">
        <v>20</v>
      </c>
      <c r="I13">
        <v>8</v>
      </c>
      <c r="J13">
        <v>4</v>
      </c>
      <c r="K13">
        <v>0</v>
      </c>
      <c r="L13">
        <v>0</v>
      </c>
      <c r="N13">
        <v>6</v>
      </c>
      <c r="Q13">
        <v>14</v>
      </c>
      <c r="R13" s="1"/>
    </row>
    <row r="14" spans="1:18" hidden="1" x14ac:dyDescent="0.3">
      <c r="A14" s="17" t="s">
        <v>146</v>
      </c>
      <c r="B14" t="s">
        <v>21</v>
      </c>
      <c r="C14" t="s">
        <v>29</v>
      </c>
      <c r="D14" t="s">
        <v>147</v>
      </c>
      <c r="E14" t="s">
        <v>148</v>
      </c>
      <c r="F14" t="s">
        <v>25</v>
      </c>
      <c r="G14" t="s">
        <v>537</v>
      </c>
      <c r="H14">
        <v>75</v>
      </c>
      <c r="I14">
        <v>0</v>
      </c>
      <c r="J14">
        <v>0</v>
      </c>
      <c r="K14">
        <v>0</v>
      </c>
      <c r="L14">
        <v>0</v>
      </c>
      <c r="N14">
        <v>19</v>
      </c>
      <c r="O14">
        <v>11</v>
      </c>
      <c r="P14">
        <v>18.5</v>
      </c>
      <c r="Q14">
        <v>12.5</v>
      </c>
      <c r="R14" s="1"/>
    </row>
    <row r="15" spans="1:18" hidden="1" x14ac:dyDescent="0.3">
      <c r="A15" s="16" t="s">
        <v>146</v>
      </c>
      <c r="B15" t="s">
        <v>21</v>
      </c>
      <c r="C15" t="s">
        <v>29</v>
      </c>
      <c r="D15" t="s">
        <v>147</v>
      </c>
      <c r="E15" t="s">
        <v>148</v>
      </c>
      <c r="F15" t="s">
        <v>25</v>
      </c>
      <c r="G15" t="s">
        <v>242</v>
      </c>
      <c r="H15">
        <v>75</v>
      </c>
      <c r="I15">
        <v>23</v>
      </c>
      <c r="J15">
        <v>5</v>
      </c>
      <c r="K15">
        <v>0</v>
      </c>
      <c r="L15">
        <v>0</v>
      </c>
      <c r="N15">
        <v>23</v>
      </c>
      <c r="O15">
        <v>15.5</v>
      </c>
      <c r="P15">
        <v>22.5</v>
      </c>
      <c r="Q15">
        <v>16.5</v>
      </c>
      <c r="R15" s="1"/>
    </row>
    <row r="16" spans="1:18" x14ac:dyDescent="0.3">
      <c r="A16" s="16" t="s">
        <v>152</v>
      </c>
      <c r="B16" t="s">
        <v>28</v>
      </c>
      <c r="C16" t="s">
        <v>22</v>
      </c>
      <c r="D16" t="s">
        <v>153</v>
      </c>
      <c r="E16" t="s">
        <v>154</v>
      </c>
      <c r="F16" t="s">
        <v>155</v>
      </c>
      <c r="G16" t="s">
        <v>156</v>
      </c>
      <c r="H16">
        <v>30</v>
      </c>
      <c r="I16">
        <v>0</v>
      </c>
      <c r="J16">
        <v>0</v>
      </c>
      <c r="K16">
        <v>0</v>
      </c>
      <c r="L16">
        <v>0</v>
      </c>
      <c r="N16">
        <v>10</v>
      </c>
      <c r="Q16">
        <v>2</v>
      </c>
      <c r="R16" s="1"/>
    </row>
    <row r="17" spans="1:18" x14ac:dyDescent="0.3">
      <c r="A17" s="16" t="s">
        <v>157</v>
      </c>
      <c r="B17" t="s">
        <v>53</v>
      </c>
      <c r="C17" t="s">
        <v>22</v>
      </c>
      <c r="D17" t="s">
        <v>153</v>
      </c>
      <c r="E17" t="s">
        <v>154</v>
      </c>
      <c r="F17" t="s">
        <v>56</v>
      </c>
      <c r="G17" t="s">
        <v>156</v>
      </c>
      <c r="H17">
        <v>30</v>
      </c>
      <c r="I17">
        <v>0</v>
      </c>
      <c r="J17">
        <v>0</v>
      </c>
      <c r="K17">
        <v>0</v>
      </c>
      <c r="L17">
        <v>0</v>
      </c>
    </row>
    <row r="18" spans="1:18" x14ac:dyDescent="0.3">
      <c r="A18" s="16" t="s">
        <v>159</v>
      </c>
      <c r="B18" t="s">
        <v>28</v>
      </c>
      <c r="C18" t="s">
        <v>22</v>
      </c>
      <c r="D18" t="s">
        <v>160</v>
      </c>
      <c r="E18" t="s">
        <v>161</v>
      </c>
      <c r="F18" t="s">
        <v>162</v>
      </c>
      <c r="G18" t="s">
        <v>163</v>
      </c>
      <c r="H18">
        <v>17</v>
      </c>
      <c r="I18">
        <v>6</v>
      </c>
      <c r="J18">
        <v>3</v>
      </c>
      <c r="K18">
        <v>4</v>
      </c>
      <c r="L18">
        <v>0</v>
      </c>
      <c r="N18">
        <v>3</v>
      </c>
      <c r="Q18">
        <v>11</v>
      </c>
      <c r="R18" s="1"/>
    </row>
    <row r="19" spans="1:18" x14ac:dyDescent="0.3">
      <c r="A19" s="16" t="s">
        <v>164</v>
      </c>
      <c r="B19" t="s">
        <v>53</v>
      </c>
      <c r="C19" t="s">
        <v>22</v>
      </c>
      <c r="D19" t="s">
        <v>165</v>
      </c>
      <c r="E19" t="s">
        <v>166</v>
      </c>
      <c r="F19" t="s">
        <v>32</v>
      </c>
      <c r="G19" t="s">
        <v>167</v>
      </c>
      <c r="H19">
        <v>32</v>
      </c>
      <c r="I19">
        <v>0</v>
      </c>
      <c r="J19">
        <v>0</v>
      </c>
      <c r="K19">
        <v>0</v>
      </c>
      <c r="L19">
        <v>0</v>
      </c>
      <c r="N19">
        <v>10</v>
      </c>
      <c r="O19">
        <v>3.5</v>
      </c>
      <c r="P19">
        <v>10</v>
      </c>
      <c r="Q19">
        <v>4.5</v>
      </c>
    </row>
    <row r="20" spans="1:18" hidden="1" x14ac:dyDescent="0.3">
      <c r="A20" s="16" t="s">
        <v>170</v>
      </c>
      <c r="B20" t="s">
        <v>53</v>
      </c>
      <c r="D20" t="s">
        <v>171</v>
      </c>
      <c r="E20" t="s">
        <v>172</v>
      </c>
      <c r="F20" t="s">
        <v>56</v>
      </c>
      <c r="G20" t="s">
        <v>173</v>
      </c>
      <c r="H20">
        <v>80</v>
      </c>
      <c r="I20">
        <v>0</v>
      </c>
      <c r="J20">
        <v>0</v>
      </c>
      <c r="K20">
        <v>0</v>
      </c>
      <c r="L20">
        <v>0</v>
      </c>
      <c r="N20">
        <v>6.5</v>
      </c>
      <c r="O20">
        <v>5</v>
      </c>
      <c r="P20">
        <v>9</v>
      </c>
      <c r="Q20">
        <v>3.5</v>
      </c>
    </row>
    <row r="21" spans="1:18" hidden="1" x14ac:dyDescent="0.3">
      <c r="A21" s="16" t="s">
        <v>271</v>
      </c>
      <c r="B21" t="s">
        <v>53</v>
      </c>
      <c r="C21" t="s">
        <v>29</v>
      </c>
      <c r="D21" s="18" t="s">
        <v>272</v>
      </c>
      <c r="E21" s="10" t="s">
        <v>273</v>
      </c>
      <c r="F21" t="s">
        <v>56</v>
      </c>
      <c r="G21" t="s">
        <v>274</v>
      </c>
      <c r="H21">
        <v>24</v>
      </c>
      <c r="I21">
        <v>0</v>
      </c>
      <c r="J21">
        <v>0</v>
      </c>
      <c r="K21">
        <v>0</v>
      </c>
      <c r="L21">
        <v>0</v>
      </c>
    </row>
    <row r="22" spans="1:18" x14ac:dyDescent="0.3">
      <c r="A22" s="16" t="s">
        <v>275</v>
      </c>
      <c r="B22" t="s">
        <v>28</v>
      </c>
      <c r="C22" t="s">
        <v>22</v>
      </c>
      <c r="D22" t="s">
        <v>276</v>
      </c>
      <c r="E22" t="s">
        <v>277</v>
      </c>
      <c r="F22" t="s">
        <v>279</v>
      </c>
      <c r="G22" t="s">
        <v>282</v>
      </c>
      <c r="H22">
        <v>100</v>
      </c>
      <c r="I22">
        <v>40</v>
      </c>
      <c r="J22">
        <v>20</v>
      </c>
      <c r="K22">
        <v>0</v>
      </c>
      <c r="L22">
        <v>0</v>
      </c>
      <c r="N22">
        <v>21</v>
      </c>
      <c r="Q22">
        <v>16</v>
      </c>
      <c r="R22" s="1"/>
    </row>
    <row r="23" spans="1:18" x14ac:dyDescent="0.3">
      <c r="A23" s="16" t="s">
        <v>275</v>
      </c>
      <c r="B23" t="s">
        <v>21</v>
      </c>
      <c r="C23" t="s">
        <v>22</v>
      </c>
      <c r="D23" t="s">
        <v>276</v>
      </c>
      <c r="E23" t="s">
        <v>277</v>
      </c>
      <c r="F23" t="s">
        <v>279</v>
      </c>
      <c r="G23" t="s">
        <v>282</v>
      </c>
      <c r="H23">
        <v>30</v>
      </c>
      <c r="I23">
        <v>12</v>
      </c>
      <c r="J23">
        <v>6</v>
      </c>
      <c r="K23">
        <v>0</v>
      </c>
      <c r="L23">
        <v>0</v>
      </c>
      <c r="M23" s="3">
        <v>10</v>
      </c>
      <c r="N23">
        <v>3</v>
      </c>
      <c r="Q23">
        <v>11</v>
      </c>
      <c r="R23" s="1"/>
    </row>
    <row r="24" spans="1:18" s="33" customFormat="1" x14ac:dyDescent="0.3">
      <c r="A24" s="33" t="s">
        <v>283</v>
      </c>
      <c r="B24" s="33" t="s">
        <v>28</v>
      </c>
      <c r="C24" s="33" t="s">
        <v>22</v>
      </c>
      <c r="D24" s="18" t="s">
        <v>284</v>
      </c>
      <c r="E24" s="10" t="s">
        <v>285</v>
      </c>
      <c r="F24" t="s">
        <v>32</v>
      </c>
      <c r="G24" s="33" t="s">
        <v>286</v>
      </c>
      <c r="H24" s="33">
        <v>10</v>
      </c>
      <c r="I24" s="33">
        <v>4</v>
      </c>
      <c r="J24" s="33">
        <v>2</v>
      </c>
      <c r="K24" s="33">
        <v>0</v>
      </c>
      <c r="L24" s="33">
        <v>0</v>
      </c>
    </row>
    <row r="25" spans="1:18" hidden="1" x14ac:dyDescent="0.3">
      <c r="A25" s="16" t="s">
        <v>287</v>
      </c>
      <c r="B25" t="s">
        <v>21</v>
      </c>
      <c r="C25" t="s">
        <v>29</v>
      </c>
      <c r="D25" s="18" t="s">
        <v>288</v>
      </c>
      <c r="E25" s="10" t="s">
        <v>289</v>
      </c>
      <c r="F25" t="s">
        <v>25</v>
      </c>
      <c r="G25" t="s">
        <v>290</v>
      </c>
      <c r="H25">
        <v>20</v>
      </c>
      <c r="I25">
        <v>0</v>
      </c>
      <c r="J25">
        <v>0</v>
      </c>
      <c r="K25">
        <v>0</v>
      </c>
      <c r="L25">
        <v>0</v>
      </c>
    </row>
    <row r="26" spans="1:18" s="33" customFormat="1" x14ac:dyDescent="0.3">
      <c r="A26" s="33" t="s">
        <v>298</v>
      </c>
      <c r="B26" s="33" t="s">
        <v>21</v>
      </c>
      <c r="C26" s="33" t="s">
        <v>22</v>
      </c>
      <c r="D26" t="s">
        <v>299</v>
      </c>
      <c r="E26" t="s">
        <v>300</v>
      </c>
      <c r="F26" t="s">
        <v>301</v>
      </c>
      <c r="G26" s="33" t="s">
        <v>302</v>
      </c>
      <c r="H26" s="33">
        <v>20</v>
      </c>
      <c r="I26" s="33">
        <v>0</v>
      </c>
      <c r="J26" s="33">
        <v>0</v>
      </c>
      <c r="K26" s="33">
        <v>0</v>
      </c>
      <c r="L26" s="33">
        <v>0</v>
      </c>
      <c r="N26" s="33">
        <v>7.5</v>
      </c>
      <c r="O26" s="33">
        <v>4.5</v>
      </c>
      <c r="P26" s="33">
        <v>7</v>
      </c>
      <c r="Q26" s="33">
        <v>2</v>
      </c>
      <c r="R26" s="34"/>
    </row>
    <row r="27" spans="1:18" hidden="1" x14ac:dyDescent="0.3">
      <c r="A27" s="16" t="s">
        <v>303</v>
      </c>
      <c r="B27" t="s">
        <v>21</v>
      </c>
      <c r="C27" t="s">
        <v>29</v>
      </c>
      <c r="D27" t="s">
        <v>304</v>
      </c>
      <c r="E27" t="s">
        <v>305</v>
      </c>
      <c r="F27" t="s">
        <v>306</v>
      </c>
      <c r="G27" t="s">
        <v>307</v>
      </c>
      <c r="H27">
        <v>30</v>
      </c>
      <c r="I27">
        <v>12</v>
      </c>
      <c r="J27">
        <v>6</v>
      </c>
      <c r="K27">
        <v>0</v>
      </c>
      <c r="L27">
        <v>4</v>
      </c>
      <c r="N27">
        <v>12</v>
      </c>
      <c r="O27">
        <v>7</v>
      </c>
      <c r="P27">
        <v>11.5</v>
      </c>
      <c r="Q27">
        <v>7</v>
      </c>
      <c r="R27" s="1"/>
    </row>
    <row r="28" spans="1:18" hidden="1" x14ac:dyDescent="0.3">
      <c r="A28" s="16" t="s">
        <v>330</v>
      </c>
      <c r="B28" t="s">
        <v>53</v>
      </c>
      <c r="C28" t="s">
        <v>29</v>
      </c>
      <c r="D28" t="s">
        <v>331</v>
      </c>
      <c r="E28" t="s">
        <v>332</v>
      </c>
      <c r="F28" t="s">
        <v>56</v>
      </c>
      <c r="G28" t="s">
        <v>519</v>
      </c>
      <c r="H28">
        <v>15</v>
      </c>
      <c r="I28">
        <v>0</v>
      </c>
      <c r="J28">
        <v>0</v>
      </c>
      <c r="K28">
        <v>0</v>
      </c>
      <c r="L28">
        <v>0</v>
      </c>
      <c r="N28">
        <v>5.5</v>
      </c>
      <c r="O28">
        <v>9</v>
      </c>
      <c r="P28">
        <v>1</v>
      </c>
      <c r="Q28">
        <v>6</v>
      </c>
    </row>
    <row r="29" spans="1:18" hidden="1" x14ac:dyDescent="0.3">
      <c r="A29" s="16" t="s">
        <v>330</v>
      </c>
      <c r="B29" t="s">
        <v>53</v>
      </c>
      <c r="C29" t="s">
        <v>29</v>
      </c>
      <c r="D29" t="s">
        <v>331</v>
      </c>
      <c r="E29" t="s">
        <v>332</v>
      </c>
      <c r="F29" t="s">
        <v>56</v>
      </c>
      <c r="G29" t="s">
        <v>333</v>
      </c>
      <c r="H29">
        <v>25</v>
      </c>
      <c r="I29">
        <v>0</v>
      </c>
      <c r="J29">
        <v>0</v>
      </c>
      <c r="K29">
        <v>0</v>
      </c>
      <c r="L29">
        <v>0</v>
      </c>
      <c r="N29">
        <v>6.5</v>
      </c>
      <c r="O29">
        <v>6.5</v>
      </c>
      <c r="P29">
        <v>2</v>
      </c>
      <c r="Q29">
        <v>4</v>
      </c>
      <c r="R29" s="1"/>
    </row>
    <row r="30" spans="1:18" hidden="1" x14ac:dyDescent="0.3">
      <c r="A30" s="16" t="s">
        <v>330</v>
      </c>
      <c r="B30" t="s">
        <v>53</v>
      </c>
      <c r="C30" t="s">
        <v>29</v>
      </c>
      <c r="D30" t="s">
        <v>331</v>
      </c>
      <c r="E30" t="s">
        <v>332</v>
      </c>
      <c r="F30" t="s">
        <v>56</v>
      </c>
      <c r="G30" t="s">
        <v>26</v>
      </c>
      <c r="H30">
        <v>25</v>
      </c>
      <c r="I30">
        <v>0</v>
      </c>
      <c r="J30">
        <v>0</v>
      </c>
      <c r="K30">
        <v>0</v>
      </c>
      <c r="L30">
        <v>0</v>
      </c>
      <c r="N30">
        <v>7.5</v>
      </c>
      <c r="O30">
        <v>2</v>
      </c>
      <c r="P30">
        <v>9.5</v>
      </c>
      <c r="Q30">
        <v>3</v>
      </c>
      <c r="R30" s="1"/>
    </row>
    <row r="31" spans="1:18" hidden="1" x14ac:dyDescent="0.3">
      <c r="A31" s="16" t="s">
        <v>330</v>
      </c>
      <c r="B31" t="s">
        <v>53</v>
      </c>
      <c r="C31" t="s">
        <v>29</v>
      </c>
      <c r="D31" t="s">
        <v>331</v>
      </c>
      <c r="E31" t="s">
        <v>332</v>
      </c>
      <c r="F31" t="s">
        <v>56</v>
      </c>
      <c r="G31" t="s">
        <v>268</v>
      </c>
      <c r="H31">
        <v>25</v>
      </c>
      <c r="I31">
        <v>0</v>
      </c>
      <c r="J31">
        <v>0</v>
      </c>
      <c r="K31">
        <v>0</v>
      </c>
      <c r="L31">
        <v>0</v>
      </c>
      <c r="N31">
        <v>7.5</v>
      </c>
      <c r="O31">
        <v>4</v>
      </c>
      <c r="P31">
        <v>9.5</v>
      </c>
      <c r="Q31">
        <v>3</v>
      </c>
      <c r="R31" s="1"/>
    </row>
    <row r="32" spans="1:18" hidden="1" x14ac:dyDescent="0.3">
      <c r="A32" s="16" t="s">
        <v>330</v>
      </c>
      <c r="B32" t="s">
        <v>53</v>
      </c>
      <c r="C32" t="s">
        <v>29</v>
      </c>
      <c r="D32" t="s">
        <v>331</v>
      </c>
      <c r="E32" t="s">
        <v>332</v>
      </c>
      <c r="F32" t="s">
        <v>56</v>
      </c>
      <c r="G32" t="s">
        <v>336</v>
      </c>
      <c r="H32">
        <v>25</v>
      </c>
      <c r="I32">
        <v>0</v>
      </c>
      <c r="J32">
        <v>0</v>
      </c>
      <c r="K32">
        <v>0</v>
      </c>
      <c r="L32">
        <v>0</v>
      </c>
      <c r="N32">
        <v>7.5</v>
      </c>
      <c r="O32">
        <v>4</v>
      </c>
      <c r="P32">
        <v>9.5</v>
      </c>
      <c r="Q32">
        <v>3</v>
      </c>
      <c r="R32" s="1"/>
    </row>
    <row r="33" spans="1:18" hidden="1" x14ac:dyDescent="0.3">
      <c r="A33" s="16" t="s">
        <v>342</v>
      </c>
      <c r="B33" t="s">
        <v>53</v>
      </c>
      <c r="C33" t="s">
        <v>29</v>
      </c>
      <c r="D33" s="18" t="s">
        <v>343</v>
      </c>
      <c r="E33" s="10" t="s">
        <v>344</v>
      </c>
      <c r="F33" t="s">
        <v>56</v>
      </c>
      <c r="G33" t="s">
        <v>321</v>
      </c>
      <c r="H33">
        <v>150</v>
      </c>
      <c r="I33">
        <v>0</v>
      </c>
      <c r="J33">
        <v>0</v>
      </c>
      <c r="K33">
        <v>0</v>
      </c>
      <c r="L33">
        <v>0</v>
      </c>
    </row>
    <row r="34" spans="1:18" x14ac:dyDescent="0.3">
      <c r="A34" s="16" t="s">
        <v>345</v>
      </c>
      <c r="B34" t="s">
        <v>53</v>
      </c>
      <c r="C34" t="s">
        <v>22</v>
      </c>
      <c r="D34" t="s">
        <v>346</v>
      </c>
      <c r="E34" t="s">
        <v>347</v>
      </c>
      <c r="F34" t="s">
        <v>56</v>
      </c>
      <c r="G34" t="s">
        <v>348</v>
      </c>
      <c r="H34">
        <v>10</v>
      </c>
      <c r="I34">
        <v>2</v>
      </c>
      <c r="J34">
        <v>0</v>
      </c>
      <c r="K34">
        <v>0</v>
      </c>
      <c r="L34">
        <v>0</v>
      </c>
      <c r="N34">
        <v>7</v>
      </c>
      <c r="O34">
        <v>3.5</v>
      </c>
      <c r="P34">
        <v>6.5</v>
      </c>
      <c r="Q34">
        <v>1</v>
      </c>
      <c r="R34" s="1"/>
    </row>
    <row r="35" spans="1:18" s="33" customFormat="1" x14ac:dyDescent="0.3">
      <c r="A35" s="33" t="s">
        <v>363</v>
      </c>
      <c r="B35" s="33" t="s">
        <v>28</v>
      </c>
      <c r="C35" s="33" t="s">
        <v>22</v>
      </c>
      <c r="D35" t="s">
        <v>364</v>
      </c>
      <c r="E35" t="s">
        <v>365</v>
      </c>
      <c r="F35" t="s">
        <v>92</v>
      </c>
      <c r="G35" s="33" t="s">
        <v>538</v>
      </c>
      <c r="H35" s="33">
        <v>12</v>
      </c>
      <c r="I35" s="33">
        <v>4</v>
      </c>
      <c r="J35" s="33">
        <v>2</v>
      </c>
      <c r="K35" s="33">
        <v>2</v>
      </c>
      <c r="L35" s="33">
        <v>0</v>
      </c>
      <c r="N35" s="33">
        <v>6</v>
      </c>
      <c r="Q35" s="33">
        <v>13</v>
      </c>
      <c r="R35" s="34"/>
    </row>
    <row r="36" spans="1:18" x14ac:dyDescent="0.3">
      <c r="A36" s="16" t="s">
        <v>384</v>
      </c>
      <c r="B36" t="s">
        <v>53</v>
      </c>
      <c r="C36" t="s">
        <v>22</v>
      </c>
      <c r="D36" t="s">
        <v>385</v>
      </c>
      <c r="E36" t="s">
        <v>386</v>
      </c>
      <c r="F36" t="s">
        <v>56</v>
      </c>
      <c r="G36" t="s">
        <v>387</v>
      </c>
      <c r="H36">
        <v>24</v>
      </c>
      <c r="I36">
        <v>0</v>
      </c>
      <c r="J36">
        <v>0</v>
      </c>
      <c r="K36">
        <v>0</v>
      </c>
      <c r="L36">
        <v>0</v>
      </c>
      <c r="N36">
        <v>6</v>
      </c>
      <c r="Q36">
        <v>13</v>
      </c>
      <c r="R36" s="1"/>
    </row>
    <row r="37" spans="1:18" hidden="1" x14ac:dyDescent="0.3">
      <c r="A37" s="16" t="s">
        <v>392</v>
      </c>
      <c r="B37" t="s">
        <v>21</v>
      </c>
      <c r="D37" s="18" t="s">
        <v>393</v>
      </c>
      <c r="E37" s="10" t="s">
        <v>394</v>
      </c>
      <c r="F37" t="s">
        <v>32</v>
      </c>
      <c r="G37" t="s">
        <v>395</v>
      </c>
      <c r="H37">
        <v>6</v>
      </c>
      <c r="I37">
        <v>2</v>
      </c>
      <c r="J37">
        <v>1</v>
      </c>
      <c r="K37">
        <v>2</v>
      </c>
      <c r="L37">
        <v>0</v>
      </c>
    </row>
    <row r="38" spans="1:18" x14ac:dyDescent="0.3">
      <c r="A38" s="19" t="s">
        <v>396</v>
      </c>
      <c r="B38" t="s">
        <v>28</v>
      </c>
      <c r="C38" t="s">
        <v>22</v>
      </c>
      <c r="D38" s="18" t="s">
        <v>397</v>
      </c>
      <c r="E38" s="10" t="s">
        <v>398</v>
      </c>
      <c r="F38" t="s">
        <v>279</v>
      </c>
      <c r="G38" t="s">
        <v>399</v>
      </c>
      <c r="H38">
        <v>21</v>
      </c>
      <c r="I38">
        <v>8</v>
      </c>
      <c r="J38">
        <v>4</v>
      </c>
      <c r="K38">
        <v>0</v>
      </c>
      <c r="L38">
        <v>0</v>
      </c>
    </row>
    <row r="39" spans="1:18" x14ac:dyDescent="0.3">
      <c r="A39" s="19" t="s">
        <v>396</v>
      </c>
      <c r="B39" t="s">
        <v>28</v>
      </c>
      <c r="C39" t="s">
        <v>22</v>
      </c>
      <c r="D39" s="18" t="s">
        <v>397</v>
      </c>
      <c r="E39" s="10" t="s">
        <v>398</v>
      </c>
      <c r="F39" t="s">
        <v>279</v>
      </c>
      <c r="G39" t="s">
        <v>400</v>
      </c>
      <c r="H39">
        <v>9</v>
      </c>
      <c r="I39">
        <v>4</v>
      </c>
      <c r="J39">
        <v>2</v>
      </c>
      <c r="K39">
        <v>0</v>
      </c>
      <c r="L39">
        <v>0</v>
      </c>
    </row>
    <row r="40" spans="1:18" x14ac:dyDescent="0.3">
      <c r="A40" s="16" t="s">
        <v>425</v>
      </c>
      <c r="B40" t="s">
        <v>28</v>
      </c>
      <c r="C40" t="s">
        <v>22</v>
      </c>
      <c r="D40" t="s">
        <v>426</v>
      </c>
      <c r="E40" t="s">
        <v>427</v>
      </c>
      <c r="F40" t="s">
        <v>25</v>
      </c>
      <c r="G40" t="s">
        <v>428</v>
      </c>
      <c r="H40">
        <v>13</v>
      </c>
      <c r="I40">
        <v>0</v>
      </c>
      <c r="J40">
        <v>0</v>
      </c>
      <c r="K40">
        <v>0</v>
      </c>
      <c r="L40">
        <v>0</v>
      </c>
      <c r="N40">
        <v>10</v>
      </c>
      <c r="Q40">
        <v>2</v>
      </c>
      <c r="R40" s="1"/>
    </row>
    <row r="41" spans="1:18" hidden="1" x14ac:dyDescent="0.3">
      <c r="A41" s="16" t="s">
        <v>435</v>
      </c>
      <c r="B41" t="s">
        <v>28</v>
      </c>
      <c r="C41" t="s">
        <v>29</v>
      </c>
      <c r="D41" s="18" t="s">
        <v>436</v>
      </c>
      <c r="E41" s="10" t="s">
        <v>437</v>
      </c>
      <c r="F41" t="s">
        <v>32</v>
      </c>
      <c r="G41" t="s">
        <v>438</v>
      </c>
      <c r="H41">
        <v>19</v>
      </c>
      <c r="I41">
        <v>6</v>
      </c>
      <c r="J41">
        <v>3</v>
      </c>
      <c r="K41">
        <v>0</v>
      </c>
      <c r="L41">
        <v>2</v>
      </c>
    </row>
    <row r="42" spans="1:18" hidden="1" x14ac:dyDescent="0.3">
      <c r="A42" s="16" t="s">
        <v>446</v>
      </c>
      <c r="B42" t="s">
        <v>28</v>
      </c>
      <c r="D42" t="s">
        <v>447</v>
      </c>
      <c r="E42" t="s">
        <v>448</v>
      </c>
      <c r="F42" t="s">
        <v>38</v>
      </c>
      <c r="G42" t="s">
        <v>449</v>
      </c>
      <c r="H42">
        <v>10</v>
      </c>
      <c r="I42">
        <v>4</v>
      </c>
      <c r="J42">
        <v>2</v>
      </c>
      <c r="K42">
        <v>0</v>
      </c>
      <c r="L42">
        <v>2</v>
      </c>
      <c r="N42">
        <v>7</v>
      </c>
      <c r="Q42">
        <v>16</v>
      </c>
      <c r="R42" s="1"/>
    </row>
    <row r="43" spans="1:18" s="33" customFormat="1" x14ac:dyDescent="0.3">
      <c r="A43" s="33" t="s">
        <v>450</v>
      </c>
      <c r="B43" s="33" t="s">
        <v>28</v>
      </c>
      <c r="C43" s="33" t="s">
        <v>22</v>
      </c>
      <c r="D43" t="s">
        <v>451</v>
      </c>
      <c r="E43" t="s">
        <v>452</v>
      </c>
      <c r="F43" t="s">
        <v>38</v>
      </c>
      <c r="G43" s="33" t="s">
        <v>453</v>
      </c>
      <c r="H43" s="33">
        <v>35</v>
      </c>
      <c r="I43" s="33">
        <v>12</v>
      </c>
      <c r="J43" s="33">
        <v>6</v>
      </c>
      <c r="K43" s="33">
        <v>0</v>
      </c>
      <c r="L43" s="33">
        <v>5</v>
      </c>
      <c r="N43" s="33">
        <v>6</v>
      </c>
      <c r="Q43" s="33">
        <v>16</v>
      </c>
      <c r="R43" s="34"/>
    </row>
    <row r="44" spans="1:18" hidden="1" x14ac:dyDescent="0.3">
      <c r="A44" s="16" t="s">
        <v>467</v>
      </c>
      <c r="B44" t="s">
        <v>53</v>
      </c>
      <c r="C44" t="s">
        <v>29</v>
      </c>
      <c r="D44" t="s">
        <v>468</v>
      </c>
      <c r="E44" t="s">
        <v>469</v>
      </c>
      <c r="F44" t="s">
        <v>56</v>
      </c>
      <c r="G44" t="s">
        <v>470</v>
      </c>
      <c r="H44">
        <v>16</v>
      </c>
      <c r="I44">
        <v>0</v>
      </c>
      <c r="J44">
        <v>0</v>
      </c>
      <c r="K44">
        <v>0</v>
      </c>
      <c r="L44">
        <v>0</v>
      </c>
      <c r="N44">
        <v>10</v>
      </c>
      <c r="O44">
        <v>3</v>
      </c>
      <c r="P44">
        <v>9.5</v>
      </c>
      <c r="Q44">
        <v>4</v>
      </c>
      <c r="R44" s="1"/>
    </row>
    <row r="45" spans="1:18" hidden="1" x14ac:dyDescent="0.3">
      <c r="A45" s="16" t="s">
        <v>488</v>
      </c>
      <c r="B45" t="s">
        <v>28</v>
      </c>
      <c r="C45" t="s">
        <v>29</v>
      </c>
      <c r="D45" t="s">
        <v>489</v>
      </c>
      <c r="E45" t="s">
        <v>490</v>
      </c>
      <c r="F45" t="s">
        <v>155</v>
      </c>
      <c r="G45" t="s">
        <v>492</v>
      </c>
      <c r="H45">
        <v>9</v>
      </c>
      <c r="I45">
        <v>3</v>
      </c>
      <c r="J45">
        <v>1</v>
      </c>
      <c r="K45">
        <v>0</v>
      </c>
      <c r="L45">
        <v>1</v>
      </c>
      <c r="N45">
        <v>9</v>
      </c>
      <c r="Q45">
        <v>19</v>
      </c>
      <c r="R45" s="1"/>
    </row>
    <row r="46" spans="1:18" hidden="1" x14ac:dyDescent="0.3">
      <c r="A46" s="16" t="s">
        <v>488</v>
      </c>
      <c r="B46" t="s">
        <v>28</v>
      </c>
      <c r="C46" t="s">
        <v>29</v>
      </c>
      <c r="D46" t="s">
        <v>489</v>
      </c>
      <c r="E46" t="s">
        <v>490</v>
      </c>
      <c r="F46" t="s">
        <v>155</v>
      </c>
      <c r="G46" t="s">
        <v>491</v>
      </c>
      <c r="H46">
        <v>9</v>
      </c>
      <c r="I46">
        <v>3</v>
      </c>
      <c r="J46">
        <v>1</v>
      </c>
      <c r="K46">
        <v>0</v>
      </c>
      <c r="L46">
        <v>1</v>
      </c>
      <c r="N46">
        <v>9</v>
      </c>
      <c r="Q46">
        <v>19</v>
      </c>
      <c r="R46" s="1"/>
    </row>
    <row r="47" spans="1:18" hidden="1" x14ac:dyDescent="0.3">
      <c r="A47" s="16" t="s">
        <v>500</v>
      </c>
      <c r="B47" t="s">
        <v>53</v>
      </c>
      <c r="C47" t="s">
        <v>29</v>
      </c>
      <c r="D47" s="10" t="s">
        <v>501</v>
      </c>
      <c r="E47" s="10" t="s">
        <v>502</v>
      </c>
      <c r="F47" t="s">
        <v>56</v>
      </c>
      <c r="G47" t="s">
        <v>503</v>
      </c>
      <c r="H47">
        <v>21</v>
      </c>
      <c r="I47">
        <v>0</v>
      </c>
      <c r="J47">
        <v>0</v>
      </c>
      <c r="K47">
        <v>0</v>
      </c>
      <c r="L47">
        <v>0</v>
      </c>
    </row>
    <row r="50" spans="1:2" hidden="1" x14ac:dyDescent="0.3">
      <c r="A50" t="s">
        <v>525</v>
      </c>
    </row>
    <row r="51" spans="1:2" hidden="1" x14ac:dyDescent="0.3">
      <c r="A51" t="s">
        <v>526</v>
      </c>
    </row>
    <row r="52" spans="1:2" hidden="1" x14ac:dyDescent="0.3">
      <c r="A52" t="s">
        <v>527</v>
      </c>
    </row>
    <row r="53" spans="1:2" hidden="1" x14ac:dyDescent="0.3">
      <c r="A53" t="s">
        <v>528</v>
      </c>
    </row>
    <row r="54" spans="1:2" hidden="1" x14ac:dyDescent="0.3">
      <c r="A54" t="s">
        <v>529</v>
      </c>
    </row>
    <row r="55" spans="1:2" hidden="1" x14ac:dyDescent="0.3"/>
    <row r="56" spans="1:2" hidden="1" x14ac:dyDescent="0.3">
      <c r="B56" t="s">
        <v>530</v>
      </c>
    </row>
    <row r="57" spans="1:2" hidden="1" x14ac:dyDescent="0.3">
      <c r="B57" t="s">
        <v>531</v>
      </c>
    </row>
    <row r="58" spans="1:2" hidden="1" x14ac:dyDescent="0.3">
      <c r="B58" t="s">
        <v>532</v>
      </c>
    </row>
    <row r="59" spans="1:2" hidden="1" x14ac:dyDescent="0.3">
      <c r="B59" t="s">
        <v>533</v>
      </c>
    </row>
    <row r="60" spans="1:2" hidden="1" x14ac:dyDescent="0.3">
      <c r="B60" t="s">
        <v>534</v>
      </c>
    </row>
    <row r="61" spans="1:2" hidden="1" x14ac:dyDescent="0.3">
      <c r="B61" t="s">
        <v>535</v>
      </c>
    </row>
    <row r="1048492" spans="1:1" hidden="1" x14ac:dyDescent="0.3">
      <c r="A1048492" t="s">
        <v>561</v>
      </c>
    </row>
    <row r="1048493" spans="1:1" x14ac:dyDescent="0.3">
      <c r="A1048493" t="s">
        <v>562</v>
      </c>
    </row>
  </sheetData>
  <autoFilter ref="A1:R1048492" xr:uid="{F31F5578-82BF-4EE0-A865-4A96726A0C98}">
    <filterColumn colId="2">
      <filters>
        <filter val="Yes"/>
      </filters>
    </filterColumn>
  </autoFilter>
  <hyperlinks>
    <hyperlink ref="D38" r:id="rId1" xr:uid="{911BE132-E809-4C2F-820B-18B6D64A04C9}"/>
    <hyperlink ref="D39" r:id="rId2" xr:uid="{556A9035-D4A7-489A-844A-00972232EF9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79F5-31EE-41EC-8812-419BE37B251C}">
  <dimension ref="A1:M32"/>
  <sheetViews>
    <sheetView topLeftCell="A10" workbookViewId="0">
      <selection activeCell="E17" sqref="E17:E19"/>
    </sheetView>
  </sheetViews>
  <sheetFormatPr defaultRowHeight="14.4" x14ac:dyDescent="0.3"/>
  <cols>
    <col min="1" max="1" width="30.33203125" bestFit="1" customWidth="1"/>
    <col min="2" max="2" width="9.5546875" customWidth="1"/>
    <col min="3" max="3" width="13.88671875" customWidth="1"/>
    <col min="4" max="4" width="19.6640625" customWidth="1"/>
    <col min="5" max="5" width="7.88671875" customWidth="1"/>
    <col min="6" max="6" width="27.88671875" customWidth="1"/>
    <col min="7" max="7" width="10.44140625" customWidth="1"/>
    <col min="13" max="13" width="2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563</v>
      </c>
    </row>
    <row r="2" spans="1:13" x14ac:dyDescent="0.3">
      <c r="A2" t="s">
        <v>139</v>
      </c>
      <c r="B2" t="s">
        <v>21</v>
      </c>
      <c r="C2" t="s">
        <v>22</v>
      </c>
      <c r="D2" t="s">
        <v>140</v>
      </c>
      <c r="E2" t="s">
        <v>141</v>
      </c>
      <c r="F2" t="s">
        <v>142</v>
      </c>
      <c r="G2" t="s">
        <v>143</v>
      </c>
      <c r="H2">
        <v>25</v>
      </c>
      <c r="I2">
        <v>0</v>
      </c>
      <c r="J2">
        <v>0</v>
      </c>
      <c r="K2">
        <v>0</v>
      </c>
      <c r="L2">
        <v>2</v>
      </c>
      <c r="M2">
        <v>14</v>
      </c>
    </row>
    <row r="3" spans="1:13" x14ac:dyDescent="0.3">
      <c r="A3" t="s">
        <v>139</v>
      </c>
      <c r="B3" t="s">
        <v>21</v>
      </c>
      <c r="C3" t="s">
        <v>22</v>
      </c>
      <c r="D3" t="s">
        <v>140</v>
      </c>
      <c r="E3" t="s">
        <v>141</v>
      </c>
      <c r="F3" t="s">
        <v>142</v>
      </c>
      <c r="G3" t="s">
        <v>144</v>
      </c>
      <c r="H3">
        <v>35</v>
      </c>
      <c r="I3">
        <v>10</v>
      </c>
      <c r="J3">
        <v>2</v>
      </c>
      <c r="K3">
        <v>0</v>
      </c>
      <c r="L3">
        <v>2</v>
      </c>
      <c r="M3">
        <v>10</v>
      </c>
    </row>
    <row r="4" spans="1:13" x14ac:dyDescent="0.3">
      <c r="A4" t="s">
        <v>139</v>
      </c>
      <c r="B4" t="s">
        <v>21</v>
      </c>
      <c r="C4" t="s">
        <v>22</v>
      </c>
      <c r="D4" t="s">
        <v>140</v>
      </c>
      <c r="E4" t="s">
        <v>141</v>
      </c>
      <c r="F4" t="s">
        <v>142</v>
      </c>
      <c r="G4" t="s">
        <v>536</v>
      </c>
      <c r="H4">
        <v>12</v>
      </c>
      <c r="I4">
        <v>0</v>
      </c>
      <c r="J4">
        <v>0</v>
      </c>
      <c r="K4">
        <v>0</v>
      </c>
      <c r="L4">
        <v>2</v>
      </c>
      <c r="M4">
        <v>5</v>
      </c>
    </row>
    <row r="5" spans="1:13" x14ac:dyDescent="0.3">
      <c r="A5" t="s">
        <v>523</v>
      </c>
      <c r="D5" s="10"/>
      <c r="E5" t="s">
        <v>265</v>
      </c>
      <c r="F5" t="s">
        <v>25</v>
      </c>
      <c r="G5" t="s">
        <v>564</v>
      </c>
      <c r="H5">
        <v>12</v>
      </c>
      <c r="I5">
        <v>10</v>
      </c>
      <c r="J5">
        <v>2</v>
      </c>
      <c r="K5">
        <v>0</v>
      </c>
      <c r="L5">
        <v>0</v>
      </c>
      <c r="M5">
        <v>8</v>
      </c>
    </row>
    <row r="6" spans="1:13" x14ac:dyDescent="0.3">
      <c r="A6" t="s">
        <v>401</v>
      </c>
      <c r="B6" t="s">
        <v>21</v>
      </c>
      <c r="C6" t="s">
        <v>22</v>
      </c>
      <c r="D6" t="s">
        <v>402</v>
      </c>
      <c r="E6" t="s">
        <v>403</v>
      </c>
      <c r="F6" t="s">
        <v>266</v>
      </c>
      <c r="G6" t="s">
        <v>268</v>
      </c>
      <c r="H6">
        <v>22</v>
      </c>
      <c r="I6">
        <v>8</v>
      </c>
      <c r="J6">
        <v>4</v>
      </c>
      <c r="K6">
        <v>5</v>
      </c>
      <c r="L6">
        <v>0</v>
      </c>
      <c r="M6">
        <v>8</v>
      </c>
    </row>
    <row r="7" spans="1:13" x14ac:dyDescent="0.3">
      <c r="H7">
        <f>SUM(H2:H6)</f>
        <v>106</v>
      </c>
    </row>
    <row r="16" spans="1:13" ht="28.8" x14ac:dyDescent="0.3">
      <c r="A16" s="20" t="s">
        <v>0</v>
      </c>
      <c r="B16" s="20" t="s">
        <v>1</v>
      </c>
      <c r="C16" s="20" t="s">
        <v>2</v>
      </c>
      <c r="D16" s="20" t="s">
        <v>6</v>
      </c>
      <c r="E16" s="20" t="s">
        <v>7</v>
      </c>
      <c r="F16" s="22" t="s">
        <v>565</v>
      </c>
      <c r="G16" s="22" t="s">
        <v>563</v>
      </c>
    </row>
    <row r="17" spans="1:7" ht="28.8" x14ac:dyDescent="0.3">
      <c r="A17" s="20" t="s">
        <v>139</v>
      </c>
      <c r="B17" s="20" t="s">
        <v>21</v>
      </c>
      <c r="C17" s="20" t="s">
        <v>22</v>
      </c>
      <c r="D17" s="20" t="s">
        <v>143</v>
      </c>
      <c r="E17" s="20">
        <v>25</v>
      </c>
      <c r="F17" s="22" t="s">
        <v>566</v>
      </c>
      <c r="G17" s="20" t="s">
        <v>567</v>
      </c>
    </row>
    <row r="18" spans="1:7" x14ac:dyDescent="0.3">
      <c r="A18" s="20" t="s">
        <v>139</v>
      </c>
      <c r="B18" s="20" t="s">
        <v>21</v>
      </c>
      <c r="C18" s="20" t="s">
        <v>22</v>
      </c>
      <c r="D18" s="20" t="s">
        <v>144</v>
      </c>
      <c r="E18" s="20">
        <v>35</v>
      </c>
      <c r="F18" s="22" t="s">
        <v>568</v>
      </c>
      <c r="G18" s="20" t="s">
        <v>569</v>
      </c>
    </row>
    <row r="19" spans="1:7" x14ac:dyDescent="0.3">
      <c r="A19" s="20" t="s">
        <v>139</v>
      </c>
      <c r="B19" s="20" t="s">
        <v>21</v>
      </c>
      <c r="C19" s="20" t="s">
        <v>22</v>
      </c>
      <c r="D19" s="20" t="s">
        <v>536</v>
      </c>
      <c r="E19" s="20">
        <v>12</v>
      </c>
      <c r="F19" s="22" t="s">
        <v>570</v>
      </c>
      <c r="G19" s="20" t="s">
        <v>571</v>
      </c>
    </row>
    <row r="20" spans="1:7" x14ac:dyDescent="0.3">
      <c r="A20" s="20" t="s">
        <v>523</v>
      </c>
      <c r="B20" s="20" t="s">
        <v>21</v>
      </c>
      <c r="C20" s="20" t="s">
        <v>22</v>
      </c>
      <c r="D20" s="20" t="s">
        <v>564</v>
      </c>
      <c r="E20" s="20">
        <v>12</v>
      </c>
      <c r="F20" s="22" t="s">
        <v>570</v>
      </c>
      <c r="G20" s="20" t="s">
        <v>572</v>
      </c>
    </row>
    <row r="21" spans="1:7" x14ac:dyDescent="0.3">
      <c r="A21" s="20" t="s">
        <v>401</v>
      </c>
      <c r="B21" s="20" t="s">
        <v>21</v>
      </c>
      <c r="C21" s="20" t="s">
        <v>22</v>
      </c>
      <c r="D21" s="20" t="s">
        <v>268</v>
      </c>
      <c r="E21" s="20">
        <v>22</v>
      </c>
      <c r="F21" s="22" t="s">
        <v>573</v>
      </c>
      <c r="G21" s="20" t="s">
        <v>572</v>
      </c>
    </row>
    <row r="22" spans="1:7" x14ac:dyDescent="0.3">
      <c r="A22" s="20"/>
      <c r="B22" s="20"/>
      <c r="C22" s="20"/>
      <c r="D22" s="20"/>
      <c r="E22" s="20"/>
      <c r="F22" s="22"/>
      <c r="G22" s="20"/>
    </row>
    <row r="23" spans="1:7" ht="30" x14ac:dyDescent="0.3">
      <c r="A23" s="20"/>
      <c r="B23" s="20"/>
      <c r="C23" s="20"/>
      <c r="D23" s="21" t="s">
        <v>508</v>
      </c>
      <c r="E23" s="20">
        <f>SUM(E17:E22)</f>
        <v>106</v>
      </c>
      <c r="F23" s="22" t="s">
        <v>574</v>
      </c>
      <c r="G23" s="20"/>
    </row>
    <row r="26" spans="1:7" ht="43.2" x14ac:dyDescent="0.3">
      <c r="A26" s="20" t="s">
        <v>0</v>
      </c>
      <c r="B26" s="20" t="s">
        <v>1</v>
      </c>
      <c r="C26" s="20" t="s">
        <v>6</v>
      </c>
      <c r="D26" s="20" t="s">
        <v>7</v>
      </c>
      <c r="E26" s="22" t="s">
        <v>565</v>
      </c>
      <c r="F26" s="22" t="s">
        <v>563</v>
      </c>
    </row>
    <row r="27" spans="1:7" ht="28.8" x14ac:dyDescent="0.3">
      <c r="A27" s="20" t="s">
        <v>575</v>
      </c>
      <c r="B27" s="22" t="s">
        <v>576</v>
      </c>
      <c r="C27" s="20" t="s">
        <v>73</v>
      </c>
      <c r="D27" s="20">
        <v>15</v>
      </c>
      <c r="E27" s="20" t="s">
        <v>546</v>
      </c>
      <c r="F27" s="20" t="s">
        <v>571</v>
      </c>
    </row>
    <row r="28" spans="1:7" ht="28.8" x14ac:dyDescent="0.3">
      <c r="A28" s="20" t="s">
        <v>52</v>
      </c>
      <c r="B28" s="22" t="s">
        <v>576</v>
      </c>
      <c r="C28" s="20" t="s">
        <v>513</v>
      </c>
      <c r="D28" s="20">
        <v>17</v>
      </c>
      <c r="E28" s="20" t="s">
        <v>546</v>
      </c>
      <c r="F28" s="20" t="s">
        <v>572</v>
      </c>
    </row>
    <row r="29" spans="1:7" ht="28.8" x14ac:dyDescent="0.3">
      <c r="A29" s="20" t="s">
        <v>271</v>
      </c>
      <c r="B29" s="22" t="s">
        <v>576</v>
      </c>
      <c r="C29" s="20" t="s">
        <v>274</v>
      </c>
      <c r="D29" s="20">
        <v>24</v>
      </c>
      <c r="E29" s="20" t="s">
        <v>546</v>
      </c>
      <c r="F29" s="20" t="s">
        <v>552</v>
      </c>
    </row>
    <row r="30" spans="1:7" ht="28.8" x14ac:dyDescent="0.3">
      <c r="A30" s="20" t="s">
        <v>342</v>
      </c>
      <c r="B30" s="22" t="s">
        <v>576</v>
      </c>
      <c r="C30" s="20" t="s">
        <v>577</v>
      </c>
      <c r="D30" s="20">
        <v>150</v>
      </c>
      <c r="E30" s="20" t="s">
        <v>546</v>
      </c>
      <c r="F30" s="20" t="s">
        <v>571</v>
      </c>
    </row>
    <row r="31" spans="1:7" ht="28.8" x14ac:dyDescent="0.3">
      <c r="A31" s="20" t="s">
        <v>578</v>
      </c>
      <c r="B31" s="22" t="s">
        <v>576</v>
      </c>
      <c r="C31" s="20" t="s">
        <v>503</v>
      </c>
      <c r="D31" s="20">
        <v>80</v>
      </c>
      <c r="E31" s="20" t="s">
        <v>546</v>
      </c>
      <c r="F31" s="20" t="s">
        <v>579</v>
      </c>
    </row>
    <row r="32" spans="1:7" x14ac:dyDescent="0.3">
      <c r="C32" s="21" t="s">
        <v>511</v>
      </c>
      <c r="D32" s="20">
        <f>SUM(D27:D31)</f>
        <v>286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AE3F-E5E4-4163-AD42-760843B8C7F4}">
  <dimension ref="A1:D33"/>
  <sheetViews>
    <sheetView workbookViewId="0">
      <selection activeCell="B26" sqref="B26"/>
    </sheetView>
  </sheetViews>
  <sheetFormatPr defaultRowHeight="14.4" x14ac:dyDescent="0.3"/>
  <cols>
    <col min="1" max="1" width="28.44140625" customWidth="1"/>
    <col min="2" max="2" width="20.5546875" customWidth="1"/>
    <col min="3" max="3" width="6.109375" bestFit="1" customWidth="1"/>
    <col min="4" max="4" width="30.33203125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559</v>
      </c>
    </row>
    <row r="2" spans="1:4" x14ac:dyDescent="0.3">
      <c r="A2" s="19" t="s">
        <v>62</v>
      </c>
      <c r="B2" t="s">
        <v>514</v>
      </c>
      <c r="C2">
        <v>25</v>
      </c>
      <c r="D2" s="16">
        <v>6</v>
      </c>
    </row>
    <row r="3" spans="1:4" x14ac:dyDescent="0.3">
      <c r="A3" s="16" t="s">
        <v>371</v>
      </c>
      <c r="B3" t="s">
        <v>192</v>
      </c>
      <c r="C3">
        <v>25</v>
      </c>
      <c r="D3" s="3">
        <v>7</v>
      </c>
    </row>
    <row r="4" spans="1:4" x14ac:dyDescent="0.3">
      <c r="A4" s="16" t="s">
        <v>248</v>
      </c>
      <c r="B4" t="s">
        <v>253</v>
      </c>
      <c r="C4">
        <v>45</v>
      </c>
      <c r="D4" s="3">
        <v>9</v>
      </c>
    </row>
    <row r="5" spans="1:4" x14ac:dyDescent="0.3">
      <c r="A5" s="16" t="s">
        <v>454</v>
      </c>
      <c r="B5" t="s">
        <v>268</v>
      </c>
      <c r="C5">
        <v>40</v>
      </c>
      <c r="D5" s="3">
        <v>9</v>
      </c>
    </row>
    <row r="6" spans="1:4" x14ac:dyDescent="0.3">
      <c r="A6" s="8" t="s">
        <v>523</v>
      </c>
      <c r="B6" t="s">
        <v>270</v>
      </c>
      <c r="C6">
        <v>25</v>
      </c>
      <c r="D6" s="3">
        <v>9</v>
      </c>
    </row>
    <row r="7" spans="1:4" x14ac:dyDescent="0.3">
      <c r="A7" s="16" t="s">
        <v>58</v>
      </c>
      <c r="B7" t="s">
        <v>61</v>
      </c>
      <c r="C7">
        <v>30</v>
      </c>
      <c r="D7" s="3">
        <v>10</v>
      </c>
    </row>
    <row r="8" spans="1:4" x14ac:dyDescent="0.3">
      <c r="A8" s="16" t="s">
        <v>275</v>
      </c>
      <c r="B8" t="s">
        <v>430</v>
      </c>
      <c r="C8">
        <v>50</v>
      </c>
      <c r="D8" s="3">
        <v>10</v>
      </c>
    </row>
    <row r="9" spans="1:4" x14ac:dyDescent="0.3">
      <c r="A9" s="17" t="s">
        <v>381</v>
      </c>
      <c r="B9" t="s">
        <v>225</v>
      </c>
      <c r="C9">
        <v>33</v>
      </c>
      <c r="D9" s="3">
        <v>10</v>
      </c>
    </row>
    <row r="10" spans="1:4" x14ac:dyDescent="0.3">
      <c r="A10" s="8" t="s">
        <v>429</v>
      </c>
      <c r="B10" t="s">
        <v>430</v>
      </c>
      <c r="C10">
        <v>35</v>
      </c>
      <c r="D10" s="3">
        <v>10</v>
      </c>
    </row>
    <row r="11" spans="1:4" x14ac:dyDescent="0.3">
      <c r="A11" s="16" t="s">
        <v>95</v>
      </c>
      <c r="B11" t="s">
        <v>98</v>
      </c>
      <c r="C11">
        <v>16</v>
      </c>
      <c r="D11" s="3">
        <v>11</v>
      </c>
    </row>
    <row r="12" spans="1:4" x14ac:dyDescent="0.3">
      <c r="A12" s="16" t="s">
        <v>83</v>
      </c>
      <c r="B12" t="s">
        <v>86</v>
      </c>
      <c r="C12">
        <v>32</v>
      </c>
      <c r="D12" s="3">
        <v>11</v>
      </c>
    </row>
    <row r="33" spans="2:3" x14ac:dyDescent="0.3">
      <c r="B33" s="3" t="s">
        <v>560</v>
      </c>
      <c r="C33" s="3">
        <f>SUM(C2:C24)</f>
        <v>356</v>
      </c>
    </row>
  </sheetData>
  <autoFilter ref="A1:D1" xr:uid="{E0230EF2-D983-4BAA-A824-40316C8F60E8}">
    <sortState xmlns:xlrd2="http://schemas.microsoft.com/office/spreadsheetml/2017/richdata2" ref="A2:D23">
      <sortCondition ref="D1"/>
    </sortState>
  </autoFilter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537C-3E2E-4ED7-ACAB-0FE06890A9D2}">
  <dimension ref="A1:D33"/>
  <sheetViews>
    <sheetView workbookViewId="0">
      <selection activeCell="D29" sqref="D29"/>
    </sheetView>
  </sheetViews>
  <sheetFormatPr defaultRowHeight="14.4" x14ac:dyDescent="0.3"/>
  <cols>
    <col min="1" max="1" width="28.44140625" customWidth="1"/>
    <col min="2" max="2" width="15.88671875" bestFit="1" customWidth="1"/>
    <col min="3" max="3" width="6.109375" bestFit="1" customWidth="1"/>
    <col min="4" max="4" width="28.55468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580</v>
      </c>
    </row>
    <row r="2" spans="1:4" x14ac:dyDescent="0.3">
      <c r="A2" s="8" t="s">
        <v>330</v>
      </c>
      <c r="B2" t="s">
        <v>26</v>
      </c>
      <c r="C2">
        <v>30</v>
      </c>
      <c r="D2" s="3">
        <v>2</v>
      </c>
    </row>
    <row r="3" spans="1:4" x14ac:dyDescent="0.3">
      <c r="A3" s="8" t="s">
        <v>479</v>
      </c>
      <c r="B3" t="s">
        <v>409</v>
      </c>
      <c r="C3">
        <v>34</v>
      </c>
      <c r="D3" s="3">
        <v>2.5</v>
      </c>
    </row>
    <row r="4" spans="1:4" x14ac:dyDescent="0.3">
      <c r="A4" s="8" t="s">
        <v>164</v>
      </c>
      <c r="B4" t="s">
        <v>169</v>
      </c>
      <c r="C4">
        <v>20</v>
      </c>
      <c r="D4" s="3">
        <v>3</v>
      </c>
    </row>
    <row r="5" spans="1:4" x14ac:dyDescent="0.3">
      <c r="A5" s="8" t="s">
        <v>467</v>
      </c>
      <c r="B5" t="s">
        <v>470</v>
      </c>
      <c r="C5">
        <v>16</v>
      </c>
      <c r="D5" s="3">
        <v>3</v>
      </c>
    </row>
    <row r="6" spans="1:4" x14ac:dyDescent="0.3">
      <c r="A6" s="8" t="s">
        <v>345</v>
      </c>
      <c r="B6" t="s">
        <v>348</v>
      </c>
      <c r="C6">
        <v>13</v>
      </c>
      <c r="D6" s="3">
        <v>3.5</v>
      </c>
    </row>
    <row r="7" spans="1:4" x14ac:dyDescent="0.3">
      <c r="A7" s="8" t="s">
        <v>164</v>
      </c>
      <c r="B7" t="s">
        <v>167</v>
      </c>
      <c r="C7">
        <v>4</v>
      </c>
      <c r="D7" s="3">
        <v>3.5</v>
      </c>
    </row>
    <row r="8" spans="1:4" x14ac:dyDescent="0.3">
      <c r="A8" s="8" t="s">
        <v>581</v>
      </c>
      <c r="B8" t="s">
        <v>582</v>
      </c>
      <c r="C8">
        <v>250</v>
      </c>
      <c r="D8" s="3">
        <v>3.5</v>
      </c>
    </row>
    <row r="9" spans="1:4" x14ac:dyDescent="0.3">
      <c r="A9" s="8" t="s">
        <v>330</v>
      </c>
      <c r="B9" t="s">
        <v>268</v>
      </c>
      <c r="C9">
        <v>35</v>
      </c>
      <c r="D9" s="3">
        <v>4</v>
      </c>
    </row>
    <row r="10" spans="1:4" x14ac:dyDescent="0.3">
      <c r="A10" s="8" t="s">
        <v>298</v>
      </c>
      <c r="B10" t="s">
        <v>302</v>
      </c>
      <c r="C10">
        <v>35</v>
      </c>
      <c r="D10" s="3">
        <v>4.5</v>
      </c>
    </row>
    <row r="11" spans="1:4" x14ac:dyDescent="0.3">
      <c r="A11" s="8" t="s">
        <v>170</v>
      </c>
      <c r="B11" t="s">
        <v>173</v>
      </c>
      <c r="C11">
        <v>70</v>
      </c>
      <c r="D11" s="3">
        <v>5</v>
      </c>
    </row>
    <row r="12" spans="1:4" x14ac:dyDescent="0.3">
      <c r="A12" s="8" t="s">
        <v>164</v>
      </c>
      <c r="B12" t="s">
        <v>168</v>
      </c>
      <c r="C12">
        <v>7</v>
      </c>
      <c r="D12" s="3">
        <v>5</v>
      </c>
    </row>
    <row r="13" spans="1:4" x14ac:dyDescent="0.3">
      <c r="A13" s="8" t="s">
        <v>188</v>
      </c>
      <c r="B13" t="s">
        <v>192</v>
      </c>
      <c r="C13">
        <v>80</v>
      </c>
      <c r="D13" s="3">
        <v>5.5</v>
      </c>
    </row>
    <row r="14" spans="1:4" x14ac:dyDescent="0.3">
      <c r="A14" s="8" t="s">
        <v>359</v>
      </c>
      <c r="B14" t="s">
        <v>362</v>
      </c>
      <c r="C14">
        <v>22</v>
      </c>
      <c r="D14" s="3">
        <v>6</v>
      </c>
    </row>
    <row r="15" spans="1:4" x14ac:dyDescent="0.3">
      <c r="A15" s="8" t="s">
        <v>330</v>
      </c>
      <c r="B15" t="s">
        <v>333</v>
      </c>
      <c r="C15">
        <v>35</v>
      </c>
      <c r="D15" s="5">
        <v>6.5</v>
      </c>
    </row>
    <row r="16" spans="1:4" x14ac:dyDescent="0.3">
      <c r="A16" s="8" t="s">
        <v>208</v>
      </c>
      <c r="B16" t="s">
        <v>212</v>
      </c>
      <c r="D16" s="5">
        <v>6.5</v>
      </c>
    </row>
    <row r="17" spans="1:4" x14ac:dyDescent="0.3">
      <c r="A17" s="8" t="s">
        <v>146</v>
      </c>
      <c r="B17" t="s">
        <v>151</v>
      </c>
      <c r="C17">
        <v>50</v>
      </c>
      <c r="D17" s="5">
        <v>6.5</v>
      </c>
    </row>
    <row r="18" spans="1:4" x14ac:dyDescent="0.3">
      <c r="A18" s="8" t="s">
        <v>303</v>
      </c>
      <c r="B18" t="s">
        <v>307</v>
      </c>
      <c r="C18">
        <v>100</v>
      </c>
      <c r="D18" s="5">
        <v>7</v>
      </c>
    </row>
    <row r="19" spans="1:4" x14ac:dyDescent="0.3">
      <c r="A19" s="8" t="s">
        <v>170</v>
      </c>
      <c r="B19" t="s">
        <v>174</v>
      </c>
      <c r="C19">
        <v>10</v>
      </c>
      <c r="D19" s="5">
        <v>8</v>
      </c>
    </row>
    <row r="20" spans="1:4" x14ac:dyDescent="0.3">
      <c r="A20" s="8" t="s">
        <v>330</v>
      </c>
      <c r="B20" t="s">
        <v>519</v>
      </c>
      <c r="C20">
        <v>20</v>
      </c>
      <c r="D20" s="5">
        <v>9</v>
      </c>
    </row>
    <row r="21" spans="1:4" x14ac:dyDescent="0.3">
      <c r="A21" s="8" t="s">
        <v>322</v>
      </c>
      <c r="B21" t="s">
        <v>518</v>
      </c>
      <c r="C21">
        <v>12</v>
      </c>
      <c r="D21" s="5">
        <v>10</v>
      </c>
    </row>
    <row r="22" spans="1:4" x14ac:dyDescent="0.3">
      <c r="A22" s="8" t="s">
        <v>479</v>
      </c>
      <c r="B22" t="s">
        <v>353</v>
      </c>
      <c r="C22">
        <v>30</v>
      </c>
      <c r="D22" s="5">
        <v>11</v>
      </c>
    </row>
    <row r="23" spans="1:4" x14ac:dyDescent="0.3">
      <c r="A23" s="9" t="s">
        <v>146</v>
      </c>
      <c r="B23" t="s">
        <v>149</v>
      </c>
      <c r="C23">
        <v>65</v>
      </c>
      <c r="D23" s="5">
        <v>11</v>
      </c>
    </row>
    <row r="24" spans="1:4" x14ac:dyDescent="0.3">
      <c r="A24" s="8" t="s">
        <v>208</v>
      </c>
      <c r="B24" t="s">
        <v>214</v>
      </c>
      <c r="D24" s="5">
        <v>11.5</v>
      </c>
    </row>
    <row r="25" spans="1:4" x14ac:dyDescent="0.3">
      <c r="A25" s="8" t="s">
        <v>208</v>
      </c>
      <c r="B25" t="s">
        <v>216</v>
      </c>
      <c r="D25" s="5">
        <v>12</v>
      </c>
    </row>
    <row r="33" spans="2:3" x14ac:dyDescent="0.3">
      <c r="B33" s="3" t="s">
        <v>560</v>
      </c>
      <c r="C33" s="3">
        <f>SUM(C2:C24)</f>
        <v>938</v>
      </c>
    </row>
  </sheetData>
  <autoFilter ref="A1:D1" xr:uid="{E0230EF2-D983-4BAA-A824-40316C8F60E8}">
    <sortState xmlns:xlrd2="http://schemas.microsoft.com/office/spreadsheetml/2017/richdata2" ref="A2:D23">
      <sortCondition ref="D1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3734-3FB4-429A-BA7B-D24B9F2475CD}">
  <dimension ref="A1:D57"/>
  <sheetViews>
    <sheetView workbookViewId="0">
      <selection activeCell="C58" sqref="C58"/>
    </sheetView>
  </sheetViews>
  <sheetFormatPr defaultRowHeight="14.4" x14ac:dyDescent="0.3"/>
  <cols>
    <col min="1" max="1" width="28.44140625" customWidth="1"/>
    <col min="2" max="2" width="15.6640625" bestFit="1" customWidth="1"/>
    <col min="3" max="3" width="6.109375" bestFit="1" customWidth="1"/>
    <col min="4" max="4" width="32.1093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583</v>
      </c>
    </row>
    <row r="2" spans="1:4" x14ac:dyDescent="0.3">
      <c r="A2" s="8" t="s">
        <v>479</v>
      </c>
      <c r="B2" t="s">
        <v>409</v>
      </c>
      <c r="C2">
        <v>34</v>
      </c>
      <c r="D2" s="3">
        <v>0</v>
      </c>
    </row>
    <row r="3" spans="1:4" x14ac:dyDescent="0.3">
      <c r="A3" t="s">
        <v>405</v>
      </c>
      <c r="B3" t="s">
        <v>409</v>
      </c>
      <c r="C3">
        <v>30</v>
      </c>
      <c r="D3" s="3">
        <v>0</v>
      </c>
    </row>
    <row r="4" spans="1:4" x14ac:dyDescent="0.3">
      <c r="A4" t="s">
        <v>367</v>
      </c>
      <c r="B4" t="s">
        <v>370</v>
      </c>
      <c r="C4">
        <v>10</v>
      </c>
      <c r="D4" s="3">
        <v>0</v>
      </c>
    </row>
    <row r="5" spans="1:4" x14ac:dyDescent="0.3">
      <c r="A5" s="8" t="s">
        <v>345</v>
      </c>
      <c r="B5" t="s">
        <v>348</v>
      </c>
      <c r="C5">
        <v>13</v>
      </c>
      <c r="D5" s="3">
        <v>1</v>
      </c>
    </row>
    <row r="6" spans="1:4" x14ac:dyDescent="0.3">
      <c r="A6" s="8" t="s">
        <v>298</v>
      </c>
      <c r="B6" t="s">
        <v>302</v>
      </c>
      <c r="C6">
        <v>35</v>
      </c>
      <c r="D6" s="3">
        <v>2</v>
      </c>
    </row>
    <row r="7" spans="1:4" x14ac:dyDescent="0.3">
      <c r="A7" t="s">
        <v>152</v>
      </c>
      <c r="B7" t="s">
        <v>156</v>
      </c>
      <c r="C7">
        <v>30</v>
      </c>
      <c r="D7" s="3">
        <v>2</v>
      </c>
    </row>
    <row r="8" spans="1:4" x14ac:dyDescent="0.3">
      <c r="A8" t="s">
        <v>425</v>
      </c>
      <c r="B8" t="s">
        <v>428</v>
      </c>
      <c r="C8">
        <v>12</v>
      </c>
      <c r="D8" s="3">
        <v>2</v>
      </c>
    </row>
    <row r="9" spans="1:4" x14ac:dyDescent="0.3">
      <c r="A9" s="8" t="s">
        <v>330</v>
      </c>
      <c r="B9" t="s">
        <v>26</v>
      </c>
      <c r="C9">
        <v>30</v>
      </c>
      <c r="D9" s="3">
        <v>3</v>
      </c>
    </row>
    <row r="10" spans="1:4" x14ac:dyDescent="0.3">
      <c r="A10" s="8" t="s">
        <v>330</v>
      </c>
      <c r="B10" t="s">
        <v>268</v>
      </c>
      <c r="C10">
        <v>35</v>
      </c>
      <c r="D10" s="3">
        <v>3</v>
      </c>
    </row>
    <row r="11" spans="1:4" x14ac:dyDescent="0.3">
      <c r="A11" t="s">
        <v>388</v>
      </c>
      <c r="B11" t="s">
        <v>226</v>
      </c>
      <c r="C11">
        <v>200</v>
      </c>
      <c r="D11" s="3">
        <v>3</v>
      </c>
    </row>
    <row r="12" spans="1:4" x14ac:dyDescent="0.3">
      <c r="A12" t="s">
        <v>484</v>
      </c>
      <c r="B12" t="s">
        <v>487</v>
      </c>
      <c r="C12">
        <v>20</v>
      </c>
      <c r="D12" s="3">
        <v>3</v>
      </c>
    </row>
    <row r="13" spans="1:4" x14ac:dyDescent="0.3">
      <c r="A13" s="8" t="s">
        <v>164</v>
      </c>
      <c r="B13" t="s">
        <v>169</v>
      </c>
      <c r="C13">
        <v>20</v>
      </c>
      <c r="D13" s="3">
        <v>3.5</v>
      </c>
    </row>
    <row r="14" spans="1:4" x14ac:dyDescent="0.3">
      <c r="A14" s="8" t="s">
        <v>170</v>
      </c>
      <c r="B14" t="s">
        <v>173</v>
      </c>
      <c r="C14">
        <v>70</v>
      </c>
      <c r="D14" s="3">
        <v>3.5</v>
      </c>
    </row>
    <row r="15" spans="1:4" x14ac:dyDescent="0.3">
      <c r="A15" s="8" t="s">
        <v>164</v>
      </c>
      <c r="B15" t="s">
        <v>168</v>
      </c>
      <c r="C15">
        <v>7</v>
      </c>
      <c r="D15" s="3">
        <v>3.5</v>
      </c>
    </row>
    <row r="16" spans="1:4" x14ac:dyDescent="0.3">
      <c r="A16" s="8" t="s">
        <v>467</v>
      </c>
      <c r="B16" t="s">
        <v>470</v>
      </c>
      <c r="C16">
        <v>16</v>
      </c>
      <c r="D16" s="3">
        <v>4</v>
      </c>
    </row>
    <row r="17" spans="1:4" x14ac:dyDescent="0.3">
      <c r="A17" s="8" t="s">
        <v>359</v>
      </c>
      <c r="B17" t="s">
        <v>362</v>
      </c>
      <c r="C17">
        <v>22</v>
      </c>
      <c r="D17" s="3">
        <v>4</v>
      </c>
    </row>
    <row r="18" spans="1:4" x14ac:dyDescent="0.3">
      <c r="A18" s="8" t="s">
        <v>330</v>
      </c>
      <c r="B18" t="s">
        <v>333</v>
      </c>
      <c r="C18">
        <v>35</v>
      </c>
      <c r="D18" s="3">
        <v>4</v>
      </c>
    </row>
    <row r="19" spans="1:4" x14ac:dyDescent="0.3">
      <c r="A19" t="s">
        <v>170</v>
      </c>
      <c r="B19" t="s">
        <v>173</v>
      </c>
      <c r="C19">
        <v>80</v>
      </c>
      <c r="D19" s="3">
        <v>4</v>
      </c>
    </row>
    <row r="20" spans="1:4" x14ac:dyDescent="0.3">
      <c r="A20" t="s">
        <v>401</v>
      </c>
      <c r="B20" t="s">
        <v>268</v>
      </c>
      <c r="C20">
        <v>22</v>
      </c>
      <c r="D20" s="3">
        <v>4</v>
      </c>
    </row>
    <row r="21" spans="1:4" x14ac:dyDescent="0.3">
      <c r="A21" s="8" t="s">
        <v>164</v>
      </c>
      <c r="B21" t="s">
        <v>167</v>
      </c>
      <c r="C21">
        <v>4</v>
      </c>
      <c r="D21" s="3">
        <v>4.5</v>
      </c>
    </row>
    <row r="22" spans="1:4" x14ac:dyDescent="0.3">
      <c r="A22" t="s">
        <v>99</v>
      </c>
      <c r="B22" t="s">
        <v>102</v>
      </c>
      <c r="C22">
        <v>10</v>
      </c>
      <c r="D22" s="3">
        <v>5</v>
      </c>
    </row>
    <row r="23" spans="1:4" x14ac:dyDescent="0.3">
      <c r="A23" t="s">
        <v>164</v>
      </c>
      <c r="B23" t="s">
        <v>167</v>
      </c>
      <c r="C23">
        <v>25</v>
      </c>
      <c r="D23" s="3">
        <v>5</v>
      </c>
    </row>
    <row r="24" spans="1:4" x14ac:dyDescent="0.3">
      <c r="A24" s="8" t="s">
        <v>170</v>
      </c>
      <c r="B24" t="s">
        <v>174</v>
      </c>
      <c r="C24">
        <v>10</v>
      </c>
      <c r="D24" s="3">
        <v>5.5</v>
      </c>
    </row>
    <row r="25" spans="1:4" x14ac:dyDescent="0.3">
      <c r="A25" s="8" t="s">
        <v>188</v>
      </c>
      <c r="B25" t="s">
        <v>192</v>
      </c>
      <c r="C25">
        <v>80</v>
      </c>
      <c r="D25" s="3">
        <v>6</v>
      </c>
    </row>
    <row r="26" spans="1:4" x14ac:dyDescent="0.3">
      <c r="A26" s="8" t="s">
        <v>330</v>
      </c>
      <c r="B26" t="s">
        <v>519</v>
      </c>
      <c r="C26">
        <v>20</v>
      </c>
      <c r="D26" s="3">
        <v>6</v>
      </c>
    </row>
    <row r="27" spans="1:4" x14ac:dyDescent="0.3">
      <c r="A27" s="8" t="s">
        <v>208</v>
      </c>
      <c r="B27" t="s">
        <v>212</v>
      </c>
      <c r="D27" s="5">
        <v>6.5</v>
      </c>
    </row>
    <row r="28" spans="1:4" x14ac:dyDescent="0.3">
      <c r="A28" s="8" t="s">
        <v>146</v>
      </c>
      <c r="B28" t="s">
        <v>151</v>
      </c>
      <c r="C28">
        <v>50</v>
      </c>
      <c r="D28" s="5">
        <v>6.5</v>
      </c>
    </row>
    <row r="29" spans="1:4" x14ac:dyDescent="0.3">
      <c r="A29" s="8" t="s">
        <v>303</v>
      </c>
      <c r="B29" t="s">
        <v>307</v>
      </c>
      <c r="C29">
        <v>100</v>
      </c>
      <c r="D29" s="5">
        <v>7</v>
      </c>
    </row>
    <row r="30" spans="1:4" x14ac:dyDescent="0.3">
      <c r="A30" t="s">
        <v>474</v>
      </c>
      <c r="B30" t="s">
        <v>478</v>
      </c>
      <c r="C30">
        <v>36</v>
      </c>
      <c r="D30" s="5">
        <v>7</v>
      </c>
    </row>
    <row r="31" spans="1:4" x14ac:dyDescent="0.3">
      <c r="A31" t="s">
        <v>248</v>
      </c>
      <c r="B31" t="s">
        <v>253</v>
      </c>
      <c r="C31">
        <v>55</v>
      </c>
      <c r="D31" s="5">
        <v>7</v>
      </c>
    </row>
    <row r="32" spans="1:4" x14ac:dyDescent="0.3">
      <c r="A32" t="s">
        <v>183</v>
      </c>
      <c r="B32" t="s">
        <v>516</v>
      </c>
      <c r="C32">
        <v>40</v>
      </c>
      <c r="D32" s="5">
        <v>8</v>
      </c>
    </row>
    <row r="33" spans="1:4" x14ac:dyDescent="0.3">
      <c r="A33" t="s">
        <v>349</v>
      </c>
      <c r="B33" t="s">
        <v>352</v>
      </c>
      <c r="C33">
        <v>50</v>
      </c>
      <c r="D33" s="5">
        <v>8</v>
      </c>
    </row>
    <row r="34" spans="1:4" x14ac:dyDescent="0.3">
      <c r="A34" t="s">
        <v>371</v>
      </c>
      <c r="B34" t="s">
        <v>192</v>
      </c>
      <c r="C34">
        <v>86</v>
      </c>
      <c r="D34" s="5">
        <v>8</v>
      </c>
    </row>
    <row r="35" spans="1:4" x14ac:dyDescent="0.3">
      <c r="A35" t="s">
        <v>405</v>
      </c>
      <c r="B35" t="s">
        <v>192</v>
      </c>
      <c r="C35">
        <v>200</v>
      </c>
      <c r="D35" s="5">
        <v>8</v>
      </c>
    </row>
    <row r="36" spans="1:4" x14ac:dyDescent="0.3">
      <c r="A36" t="s">
        <v>405</v>
      </c>
      <c r="B36" t="s">
        <v>321</v>
      </c>
      <c r="C36">
        <v>40</v>
      </c>
      <c r="D36" s="5">
        <v>8</v>
      </c>
    </row>
    <row r="37" spans="1:4" x14ac:dyDescent="0.3">
      <c r="A37" t="s">
        <v>317</v>
      </c>
      <c r="B37" t="s">
        <v>321</v>
      </c>
      <c r="C37">
        <v>28</v>
      </c>
      <c r="D37" s="5">
        <v>9</v>
      </c>
    </row>
    <row r="38" spans="1:4" x14ac:dyDescent="0.3">
      <c r="A38" s="2" t="s">
        <v>381</v>
      </c>
      <c r="B38" t="s">
        <v>225</v>
      </c>
      <c r="C38">
        <v>25</v>
      </c>
      <c r="D38" s="5">
        <v>9</v>
      </c>
    </row>
    <row r="39" spans="1:4" x14ac:dyDescent="0.3">
      <c r="A39" t="s">
        <v>139</v>
      </c>
      <c r="B39" t="s">
        <v>145</v>
      </c>
      <c r="C39">
        <v>4</v>
      </c>
      <c r="D39" s="5">
        <v>10</v>
      </c>
    </row>
    <row r="40" spans="1:4" x14ac:dyDescent="0.3">
      <c r="A40" t="s">
        <v>405</v>
      </c>
      <c r="B40" t="s">
        <v>411</v>
      </c>
      <c r="C40">
        <v>100</v>
      </c>
      <c r="D40" s="5">
        <v>10</v>
      </c>
    </row>
    <row r="41" spans="1:4" x14ac:dyDescent="0.3">
      <c r="A41" t="s">
        <v>375</v>
      </c>
      <c r="B41" t="s">
        <v>378</v>
      </c>
      <c r="C41">
        <v>120</v>
      </c>
      <c r="D41" s="5">
        <v>10</v>
      </c>
    </row>
    <row r="42" spans="1:4" x14ac:dyDescent="0.3">
      <c r="A42" s="2" t="s">
        <v>457</v>
      </c>
      <c r="B42" t="s">
        <v>460</v>
      </c>
      <c r="C42">
        <v>15</v>
      </c>
      <c r="D42" s="12">
        <v>10.25</v>
      </c>
    </row>
    <row r="43" spans="1:4" x14ac:dyDescent="0.3">
      <c r="A43" s="8" t="s">
        <v>322</v>
      </c>
      <c r="B43" t="s">
        <v>518</v>
      </c>
      <c r="C43">
        <v>12</v>
      </c>
      <c r="D43" s="5">
        <v>10.5</v>
      </c>
    </row>
    <row r="44" spans="1:4" x14ac:dyDescent="0.3">
      <c r="A44" s="8" t="s">
        <v>197</v>
      </c>
      <c r="B44" t="s">
        <v>203</v>
      </c>
      <c r="C44">
        <v>50</v>
      </c>
      <c r="D44" s="5">
        <v>10.5</v>
      </c>
    </row>
    <row r="45" spans="1:4" x14ac:dyDescent="0.3">
      <c r="A45" s="8" t="s">
        <v>208</v>
      </c>
      <c r="B45" t="s">
        <v>214</v>
      </c>
      <c r="D45" s="5">
        <v>11</v>
      </c>
    </row>
    <row r="46" spans="1:4" x14ac:dyDescent="0.3">
      <c r="A46" t="s">
        <v>159</v>
      </c>
      <c r="B46" t="s">
        <v>584</v>
      </c>
      <c r="C46">
        <v>17</v>
      </c>
      <c r="D46" s="5">
        <v>11</v>
      </c>
    </row>
    <row r="47" spans="1:4" x14ac:dyDescent="0.3">
      <c r="A47" t="s">
        <v>275</v>
      </c>
      <c r="B47" t="s">
        <v>278</v>
      </c>
      <c r="C47">
        <v>132</v>
      </c>
      <c r="D47" s="5">
        <v>11</v>
      </c>
    </row>
    <row r="48" spans="1:4" x14ac:dyDescent="0.3">
      <c r="A48" t="s">
        <v>238</v>
      </c>
      <c r="B48" t="s">
        <v>241</v>
      </c>
      <c r="C48">
        <v>60</v>
      </c>
      <c r="D48" s="5">
        <v>11</v>
      </c>
    </row>
    <row r="49" spans="1:4" x14ac:dyDescent="0.3">
      <c r="A49" s="2" t="s">
        <v>107</v>
      </c>
      <c r="B49" t="s">
        <v>111</v>
      </c>
      <c r="C49">
        <v>150</v>
      </c>
      <c r="D49" s="5">
        <v>11</v>
      </c>
    </row>
    <row r="50" spans="1:4" x14ac:dyDescent="0.3">
      <c r="A50" s="8" t="s">
        <v>479</v>
      </c>
      <c r="B50" t="s">
        <v>353</v>
      </c>
      <c r="C50">
        <v>30</v>
      </c>
      <c r="D50" s="5">
        <v>11.5</v>
      </c>
    </row>
    <row r="51" spans="1:4" x14ac:dyDescent="0.3">
      <c r="A51" t="s">
        <v>405</v>
      </c>
      <c r="B51" t="s">
        <v>410</v>
      </c>
      <c r="C51">
        <v>40</v>
      </c>
      <c r="D51" s="5">
        <v>12</v>
      </c>
    </row>
    <row r="52" spans="1:4" x14ac:dyDescent="0.3">
      <c r="A52" t="s">
        <v>234</v>
      </c>
      <c r="B52" t="s">
        <v>237</v>
      </c>
      <c r="C52">
        <v>104</v>
      </c>
      <c r="D52" s="5">
        <v>12</v>
      </c>
    </row>
    <row r="53" spans="1:4" x14ac:dyDescent="0.3">
      <c r="A53" s="2" t="s">
        <v>259</v>
      </c>
      <c r="B53" t="s">
        <v>262</v>
      </c>
      <c r="C53">
        <v>55</v>
      </c>
      <c r="D53" s="5">
        <v>12</v>
      </c>
    </row>
    <row r="56" spans="1:4" x14ac:dyDescent="0.3">
      <c r="B56" t="s">
        <v>585</v>
      </c>
      <c r="C56">
        <f>SUM(C2:C53)</f>
        <v>2469</v>
      </c>
    </row>
    <row r="57" spans="1:4" x14ac:dyDescent="0.3">
      <c r="B57" t="s">
        <v>586</v>
      </c>
      <c r="C57">
        <f>SUM(C50,C43:C45,C24:C29,C21,C13:C18,C9:C10,C5:C6,C2)</f>
        <v>673</v>
      </c>
    </row>
  </sheetData>
  <autoFilter ref="A1:D1" xr:uid="{E0230EF2-D983-4BAA-A824-40316C8F60E8}">
    <sortState xmlns:xlrd2="http://schemas.microsoft.com/office/spreadsheetml/2017/richdata2" ref="A2:D23">
      <sortCondition ref="D1"/>
    </sortState>
  </autoFilter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0EF2-D983-4BAA-A824-40316C8F60E8}">
  <dimension ref="A1:D24"/>
  <sheetViews>
    <sheetView workbookViewId="0">
      <selection activeCell="I21" sqref="I21"/>
    </sheetView>
  </sheetViews>
  <sheetFormatPr defaultRowHeight="14.4" x14ac:dyDescent="0.3"/>
  <cols>
    <col min="1" max="1" width="28.44140625" customWidth="1"/>
    <col min="2" max="2" width="15.88671875" bestFit="1" customWidth="1"/>
    <col min="3" max="3" width="6.109375" bestFit="1" customWidth="1"/>
    <col min="4" max="4" width="32.886718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587</v>
      </c>
    </row>
    <row r="2" spans="1:4" x14ac:dyDescent="0.3">
      <c r="A2" s="8" t="s">
        <v>330</v>
      </c>
      <c r="B2" t="s">
        <v>519</v>
      </c>
      <c r="C2">
        <v>20</v>
      </c>
      <c r="D2" s="3">
        <v>1</v>
      </c>
    </row>
    <row r="3" spans="1:4" x14ac:dyDescent="0.3">
      <c r="A3" s="8" t="s">
        <v>170</v>
      </c>
      <c r="B3" t="s">
        <v>174</v>
      </c>
      <c r="C3">
        <v>10</v>
      </c>
      <c r="D3" s="3">
        <v>1.5</v>
      </c>
    </row>
    <row r="4" spans="1:4" x14ac:dyDescent="0.3">
      <c r="A4" s="8" t="s">
        <v>330</v>
      </c>
      <c r="B4" t="s">
        <v>333</v>
      </c>
      <c r="C4">
        <v>35</v>
      </c>
      <c r="D4" s="3">
        <v>2</v>
      </c>
    </row>
    <row r="5" spans="1:4" x14ac:dyDescent="0.3">
      <c r="A5" s="8" t="s">
        <v>359</v>
      </c>
      <c r="B5" t="s">
        <v>362</v>
      </c>
      <c r="C5">
        <v>22</v>
      </c>
      <c r="D5" s="3">
        <v>3</v>
      </c>
    </row>
    <row r="6" spans="1:4" x14ac:dyDescent="0.3">
      <c r="A6" s="8" t="s">
        <v>581</v>
      </c>
      <c r="B6" t="s">
        <v>582</v>
      </c>
      <c r="C6">
        <v>250</v>
      </c>
      <c r="D6" s="3">
        <v>5</v>
      </c>
    </row>
    <row r="7" spans="1:4" x14ac:dyDescent="0.3">
      <c r="A7" s="8" t="s">
        <v>479</v>
      </c>
      <c r="B7" t="s">
        <v>409</v>
      </c>
      <c r="C7">
        <v>34</v>
      </c>
      <c r="D7" s="5">
        <v>6.5</v>
      </c>
    </row>
    <row r="8" spans="1:4" x14ac:dyDescent="0.3">
      <c r="A8" s="8" t="s">
        <v>345</v>
      </c>
      <c r="B8" t="s">
        <v>348</v>
      </c>
      <c r="C8">
        <v>13</v>
      </c>
      <c r="D8" s="5">
        <v>6.5</v>
      </c>
    </row>
    <row r="9" spans="1:4" x14ac:dyDescent="0.3">
      <c r="A9" s="8" t="s">
        <v>298</v>
      </c>
      <c r="B9" t="s">
        <v>302</v>
      </c>
      <c r="C9">
        <v>35</v>
      </c>
      <c r="D9" s="5">
        <v>7</v>
      </c>
    </row>
    <row r="10" spans="1:4" x14ac:dyDescent="0.3">
      <c r="A10" s="8" t="s">
        <v>197</v>
      </c>
      <c r="B10" t="s">
        <v>203</v>
      </c>
      <c r="C10">
        <v>50</v>
      </c>
      <c r="D10" s="5">
        <v>7.5</v>
      </c>
    </row>
    <row r="11" spans="1:4" x14ac:dyDescent="0.3">
      <c r="A11" s="8" t="s">
        <v>170</v>
      </c>
      <c r="B11" t="s">
        <v>173</v>
      </c>
      <c r="C11">
        <v>70</v>
      </c>
      <c r="D11" s="5">
        <v>9</v>
      </c>
    </row>
    <row r="12" spans="1:4" x14ac:dyDescent="0.3">
      <c r="A12" s="8" t="s">
        <v>330</v>
      </c>
      <c r="B12" t="s">
        <v>26</v>
      </c>
      <c r="C12">
        <v>30</v>
      </c>
      <c r="D12" s="5">
        <v>9.5</v>
      </c>
    </row>
    <row r="13" spans="1:4" x14ac:dyDescent="0.3">
      <c r="A13" s="8" t="s">
        <v>330</v>
      </c>
      <c r="B13" t="s">
        <v>268</v>
      </c>
      <c r="C13">
        <v>35</v>
      </c>
      <c r="D13" s="5">
        <v>9.5</v>
      </c>
    </row>
    <row r="14" spans="1:4" x14ac:dyDescent="0.3">
      <c r="A14" s="8" t="s">
        <v>164</v>
      </c>
      <c r="B14" t="s">
        <v>169</v>
      </c>
      <c r="C14">
        <v>20</v>
      </c>
      <c r="D14" s="5">
        <v>9.5</v>
      </c>
    </row>
    <row r="15" spans="1:4" x14ac:dyDescent="0.3">
      <c r="A15" s="8" t="s">
        <v>164</v>
      </c>
      <c r="B15" t="s">
        <v>168</v>
      </c>
      <c r="C15">
        <v>7</v>
      </c>
      <c r="D15" s="5">
        <v>9.5</v>
      </c>
    </row>
    <row r="16" spans="1:4" x14ac:dyDescent="0.3">
      <c r="A16" s="8" t="s">
        <v>467</v>
      </c>
      <c r="B16" t="s">
        <v>470</v>
      </c>
      <c r="C16">
        <v>16</v>
      </c>
      <c r="D16" s="5">
        <v>9.5</v>
      </c>
    </row>
    <row r="17" spans="1:4" x14ac:dyDescent="0.3">
      <c r="A17" s="8" t="s">
        <v>164</v>
      </c>
      <c r="B17" t="s">
        <v>167</v>
      </c>
      <c r="C17">
        <v>4</v>
      </c>
      <c r="D17" s="5">
        <v>10</v>
      </c>
    </row>
    <row r="18" spans="1:4" x14ac:dyDescent="0.3">
      <c r="A18" s="8" t="s">
        <v>208</v>
      </c>
      <c r="B18" t="s">
        <v>212</v>
      </c>
      <c r="D18" s="5">
        <v>10</v>
      </c>
    </row>
    <row r="19" spans="1:4" x14ac:dyDescent="0.3">
      <c r="A19" s="8" t="s">
        <v>188</v>
      </c>
      <c r="B19" t="s">
        <v>192</v>
      </c>
      <c r="C19">
        <v>80</v>
      </c>
      <c r="D19" s="5">
        <v>10.5</v>
      </c>
    </row>
    <row r="20" spans="1:4" x14ac:dyDescent="0.3">
      <c r="A20" s="8" t="s">
        <v>146</v>
      </c>
      <c r="B20" t="s">
        <v>151</v>
      </c>
      <c r="C20">
        <v>50</v>
      </c>
      <c r="D20" s="5">
        <v>11.5</v>
      </c>
    </row>
    <row r="21" spans="1:4" x14ac:dyDescent="0.3">
      <c r="A21" s="8" t="s">
        <v>303</v>
      </c>
      <c r="B21" t="s">
        <v>307</v>
      </c>
      <c r="C21">
        <v>100</v>
      </c>
      <c r="D21" s="5">
        <v>11.5</v>
      </c>
    </row>
    <row r="22" spans="1:4" x14ac:dyDescent="0.3">
      <c r="D22" s="1"/>
    </row>
    <row r="23" spans="1:4" ht="15" thickBot="1" x14ac:dyDescent="0.35"/>
    <row r="24" spans="1:4" ht="15" thickBot="1" x14ac:dyDescent="0.35">
      <c r="B24" s="14" t="s">
        <v>560</v>
      </c>
      <c r="C24" s="15">
        <f>SUM(C2:C21)</f>
        <v>881</v>
      </c>
    </row>
  </sheetData>
  <autoFilter ref="A1:D1" xr:uid="{E0230EF2-D983-4BAA-A824-40316C8F60E8}">
    <sortState xmlns:xlrd2="http://schemas.microsoft.com/office/spreadsheetml/2017/richdata2" ref="A2:D23">
      <sortCondition ref="D1"/>
    </sortState>
  </autoFilter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2189-44AB-4855-97BD-A3F21FA5483B}">
  <dimension ref="A1:D57"/>
  <sheetViews>
    <sheetView workbookViewId="0">
      <selection activeCell="C58" sqref="C58"/>
    </sheetView>
  </sheetViews>
  <sheetFormatPr defaultRowHeight="14.4" x14ac:dyDescent="0.3"/>
  <cols>
    <col min="1" max="1" width="28.44140625" customWidth="1"/>
    <col min="2" max="2" width="15.88671875" bestFit="1" customWidth="1"/>
    <col min="3" max="3" width="6.109375" bestFit="1" customWidth="1"/>
    <col min="4" max="4" width="32.886718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588</v>
      </c>
    </row>
    <row r="2" spans="1:4" x14ac:dyDescent="0.3">
      <c r="A2" t="s">
        <v>159</v>
      </c>
      <c r="B2" t="s">
        <v>584</v>
      </c>
      <c r="C2">
        <v>17</v>
      </c>
      <c r="D2" s="3">
        <v>3</v>
      </c>
    </row>
    <row r="3" spans="1:4" x14ac:dyDescent="0.3">
      <c r="A3" t="s">
        <v>275</v>
      </c>
      <c r="B3" t="s">
        <v>278</v>
      </c>
      <c r="C3">
        <v>132</v>
      </c>
      <c r="D3" s="3">
        <v>3</v>
      </c>
    </row>
    <row r="4" spans="1:4" x14ac:dyDescent="0.3">
      <c r="A4" s="8" t="s">
        <v>197</v>
      </c>
      <c r="B4" t="s">
        <v>203</v>
      </c>
      <c r="C4">
        <v>50</v>
      </c>
      <c r="D4" s="3">
        <v>3.5</v>
      </c>
    </row>
    <row r="5" spans="1:4" x14ac:dyDescent="0.3">
      <c r="A5" t="s">
        <v>112</v>
      </c>
      <c r="B5" t="s">
        <v>116</v>
      </c>
      <c r="C5">
        <v>100</v>
      </c>
      <c r="D5" s="3">
        <v>4</v>
      </c>
    </row>
    <row r="6" spans="1:4" x14ac:dyDescent="0.3">
      <c r="A6" t="s">
        <v>312</v>
      </c>
      <c r="B6" t="s">
        <v>316</v>
      </c>
      <c r="C6">
        <v>30</v>
      </c>
      <c r="D6" s="4">
        <v>4.5</v>
      </c>
    </row>
    <row r="7" spans="1:4" x14ac:dyDescent="0.3">
      <c r="A7" t="s">
        <v>139</v>
      </c>
      <c r="B7" t="s">
        <v>143</v>
      </c>
      <c r="C7">
        <v>30</v>
      </c>
      <c r="D7" s="3">
        <v>5</v>
      </c>
    </row>
    <row r="8" spans="1:4" x14ac:dyDescent="0.3">
      <c r="A8" t="s">
        <v>243</v>
      </c>
      <c r="B8" t="s">
        <v>247</v>
      </c>
      <c r="C8">
        <v>10</v>
      </c>
      <c r="D8" s="3">
        <v>5</v>
      </c>
    </row>
    <row r="9" spans="1:4" x14ac:dyDescent="0.3">
      <c r="A9" s="8" t="s">
        <v>330</v>
      </c>
      <c r="B9" t="s">
        <v>519</v>
      </c>
      <c r="C9">
        <v>20</v>
      </c>
      <c r="D9" s="3">
        <v>5.5</v>
      </c>
    </row>
    <row r="10" spans="1:4" x14ac:dyDescent="0.3">
      <c r="A10" s="8" t="s">
        <v>170</v>
      </c>
      <c r="B10" t="s">
        <v>174</v>
      </c>
      <c r="C10">
        <v>10</v>
      </c>
      <c r="D10" s="3">
        <v>6</v>
      </c>
    </row>
    <row r="11" spans="1:4" x14ac:dyDescent="0.3">
      <c r="A11" t="s">
        <v>99</v>
      </c>
      <c r="B11" t="s">
        <v>102</v>
      </c>
      <c r="C11">
        <v>10</v>
      </c>
      <c r="D11" s="3">
        <v>6</v>
      </c>
    </row>
    <row r="12" spans="1:4" x14ac:dyDescent="0.3">
      <c r="A12" t="s">
        <v>474</v>
      </c>
      <c r="B12" t="s">
        <v>478</v>
      </c>
      <c r="C12">
        <v>36</v>
      </c>
      <c r="D12" s="3">
        <v>6</v>
      </c>
    </row>
    <row r="13" spans="1:4" x14ac:dyDescent="0.3">
      <c r="A13" t="s">
        <v>193</v>
      </c>
      <c r="B13" t="s">
        <v>196</v>
      </c>
      <c r="C13">
        <v>10</v>
      </c>
      <c r="D13" s="3">
        <v>6</v>
      </c>
    </row>
    <row r="14" spans="1:4" x14ac:dyDescent="0.3">
      <c r="A14" t="s">
        <v>255</v>
      </c>
      <c r="B14" t="s">
        <v>258</v>
      </c>
      <c r="C14">
        <v>50</v>
      </c>
      <c r="D14" s="3">
        <v>6</v>
      </c>
    </row>
    <row r="15" spans="1:4" x14ac:dyDescent="0.3">
      <c r="A15" t="s">
        <v>363</v>
      </c>
      <c r="B15" t="s">
        <v>538</v>
      </c>
      <c r="C15">
        <v>20</v>
      </c>
      <c r="D15" s="3">
        <v>6</v>
      </c>
    </row>
    <row r="16" spans="1:4" x14ac:dyDescent="0.3">
      <c r="A16" t="s">
        <v>384</v>
      </c>
      <c r="B16" t="s">
        <v>387</v>
      </c>
      <c r="C16">
        <v>20</v>
      </c>
      <c r="D16" s="3">
        <v>6</v>
      </c>
    </row>
    <row r="17" spans="1:4" x14ac:dyDescent="0.3">
      <c r="A17" t="s">
        <v>134</v>
      </c>
      <c r="B17" t="s">
        <v>138</v>
      </c>
      <c r="C17">
        <v>40</v>
      </c>
      <c r="D17" s="3">
        <v>6</v>
      </c>
    </row>
    <row r="18" spans="1:4" x14ac:dyDescent="0.3">
      <c r="A18" t="s">
        <v>497</v>
      </c>
      <c r="B18" t="s">
        <v>499</v>
      </c>
      <c r="C18">
        <v>11</v>
      </c>
      <c r="D18" s="3">
        <v>6</v>
      </c>
    </row>
    <row r="19" spans="1:4" x14ac:dyDescent="0.3">
      <c r="A19" t="s">
        <v>230</v>
      </c>
      <c r="B19" t="s">
        <v>233</v>
      </c>
      <c r="C19">
        <v>25</v>
      </c>
      <c r="D19" s="3">
        <v>6</v>
      </c>
    </row>
    <row r="20" spans="1:4" x14ac:dyDescent="0.3">
      <c r="A20" t="s">
        <v>355</v>
      </c>
      <c r="B20" t="s">
        <v>358</v>
      </c>
      <c r="C20">
        <v>6</v>
      </c>
      <c r="D20" s="3">
        <v>6</v>
      </c>
    </row>
    <row r="21" spans="1:4" x14ac:dyDescent="0.3">
      <c r="A21" t="s">
        <v>450</v>
      </c>
      <c r="B21" t="s">
        <v>453</v>
      </c>
      <c r="C21">
        <v>50</v>
      </c>
      <c r="D21" s="3">
        <v>6</v>
      </c>
    </row>
    <row r="22" spans="1:4" x14ac:dyDescent="0.3">
      <c r="A22" s="8" t="s">
        <v>330</v>
      </c>
      <c r="B22" t="s">
        <v>333</v>
      </c>
      <c r="C22">
        <v>35</v>
      </c>
      <c r="D22" s="5">
        <v>6.5</v>
      </c>
    </row>
    <row r="23" spans="1:4" x14ac:dyDescent="0.3">
      <c r="A23" s="8" t="s">
        <v>359</v>
      </c>
      <c r="B23" t="s">
        <v>362</v>
      </c>
      <c r="C23">
        <v>22</v>
      </c>
      <c r="D23" s="5">
        <v>6.5</v>
      </c>
    </row>
    <row r="24" spans="1:4" x14ac:dyDescent="0.3">
      <c r="A24" s="8" t="s">
        <v>581</v>
      </c>
      <c r="B24" t="s">
        <v>582</v>
      </c>
      <c r="C24">
        <v>250</v>
      </c>
      <c r="D24" s="5">
        <v>6.5</v>
      </c>
    </row>
    <row r="25" spans="1:4" x14ac:dyDescent="0.3">
      <c r="A25" s="8" t="s">
        <v>170</v>
      </c>
      <c r="B25" t="s">
        <v>173</v>
      </c>
      <c r="C25">
        <v>70</v>
      </c>
      <c r="D25" s="5">
        <v>6.5</v>
      </c>
    </row>
    <row r="26" spans="1:4" x14ac:dyDescent="0.3">
      <c r="A26" s="8" t="s">
        <v>345</v>
      </c>
      <c r="B26" t="s">
        <v>348</v>
      </c>
      <c r="C26">
        <v>13</v>
      </c>
      <c r="D26" s="5">
        <v>7</v>
      </c>
    </row>
    <row r="27" spans="1:4" x14ac:dyDescent="0.3">
      <c r="A27" t="s">
        <v>170</v>
      </c>
      <c r="B27" t="s">
        <v>173</v>
      </c>
      <c r="C27">
        <v>80</v>
      </c>
      <c r="D27" s="5">
        <v>7</v>
      </c>
    </row>
    <row r="28" spans="1:4" x14ac:dyDescent="0.3">
      <c r="A28" t="s">
        <v>238</v>
      </c>
      <c r="B28" t="s">
        <v>241</v>
      </c>
      <c r="C28">
        <v>60</v>
      </c>
      <c r="D28" s="5">
        <v>7</v>
      </c>
    </row>
    <row r="29" spans="1:4" x14ac:dyDescent="0.3">
      <c r="A29" t="s">
        <v>446</v>
      </c>
      <c r="B29" t="s">
        <v>449</v>
      </c>
      <c r="C29">
        <v>12</v>
      </c>
      <c r="D29" s="5">
        <v>7</v>
      </c>
    </row>
    <row r="30" spans="1:4" x14ac:dyDescent="0.3">
      <c r="A30" s="8" t="s">
        <v>479</v>
      </c>
      <c r="B30" t="s">
        <v>409</v>
      </c>
      <c r="C30">
        <v>34</v>
      </c>
      <c r="D30" s="5">
        <v>7.5</v>
      </c>
    </row>
    <row r="31" spans="1:4" x14ac:dyDescent="0.3">
      <c r="A31" s="8" t="s">
        <v>298</v>
      </c>
      <c r="B31" t="s">
        <v>302</v>
      </c>
      <c r="C31">
        <v>35</v>
      </c>
      <c r="D31" s="5">
        <v>7.5</v>
      </c>
    </row>
    <row r="32" spans="1:4" x14ac:dyDescent="0.3">
      <c r="A32" s="8" t="s">
        <v>330</v>
      </c>
      <c r="B32" t="s">
        <v>26</v>
      </c>
      <c r="C32">
        <v>30</v>
      </c>
      <c r="D32" s="5">
        <v>7.5</v>
      </c>
    </row>
    <row r="33" spans="1:4" x14ac:dyDescent="0.3">
      <c r="A33" s="8" t="s">
        <v>330</v>
      </c>
      <c r="B33" t="s">
        <v>268</v>
      </c>
      <c r="C33">
        <v>35</v>
      </c>
      <c r="D33" s="5">
        <v>7.5</v>
      </c>
    </row>
    <row r="34" spans="1:4" x14ac:dyDescent="0.3">
      <c r="A34" s="8" t="s">
        <v>164</v>
      </c>
      <c r="B34" t="s">
        <v>168</v>
      </c>
      <c r="C34">
        <v>7</v>
      </c>
      <c r="D34" s="5">
        <v>7.5</v>
      </c>
    </row>
    <row r="35" spans="1:4" x14ac:dyDescent="0.3">
      <c r="A35" t="s">
        <v>139</v>
      </c>
      <c r="B35" t="s">
        <v>144</v>
      </c>
      <c r="C35">
        <v>55</v>
      </c>
      <c r="D35" s="5">
        <v>8</v>
      </c>
    </row>
    <row r="36" spans="1:4" x14ac:dyDescent="0.3">
      <c r="A36" t="s">
        <v>388</v>
      </c>
      <c r="B36" t="s">
        <v>226</v>
      </c>
      <c r="C36">
        <v>200</v>
      </c>
      <c r="D36" s="5">
        <v>9</v>
      </c>
    </row>
    <row r="37" spans="1:4" x14ac:dyDescent="0.3">
      <c r="A37" t="s">
        <v>139</v>
      </c>
      <c r="B37" t="s">
        <v>145</v>
      </c>
      <c r="C37">
        <v>4</v>
      </c>
      <c r="D37" s="5">
        <v>9</v>
      </c>
    </row>
    <row r="38" spans="1:4" x14ac:dyDescent="0.3">
      <c r="A38" t="s">
        <v>219</v>
      </c>
      <c r="B38" t="s">
        <v>520</v>
      </c>
      <c r="C38">
        <v>30</v>
      </c>
      <c r="D38" s="5">
        <v>9</v>
      </c>
    </row>
    <row r="39" spans="1:4" x14ac:dyDescent="0.3">
      <c r="A39" t="s">
        <v>488</v>
      </c>
      <c r="B39" t="s">
        <v>589</v>
      </c>
      <c r="C39">
        <v>18</v>
      </c>
      <c r="D39" s="5">
        <v>9</v>
      </c>
    </row>
    <row r="40" spans="1:4" x14ac:dyDescent="0.3">
      <c r="A40" s="8" t="s">
        <v>164</v>
      </c>
      <c r="B40" t="s">
        <v>169</v>
      </c>
      <c r="C40">
        <v>20</v>
      </c>
      <c r="D40" s="5">
        <v>9.5</v>
      </c>
    </row>
    <row r="41" spans="1:4" x14ac:dyDescent="0.3">
      <c r="A41" s="8" t="s">
        <v>467</v>
      </c>
      <c r="B41" t="s">
        <v>470</v>
      </c>
      <c r="C41">
        <v>16</v>
      </c>
      <c r="D41" s="5">
        <v>10</v>
      </c>
    </row>
    <row r="42" spans="1:4" x14ac:dyDescent="0.3">
      <c r="A42" s="8" t="s">
        <v>164</v>
      </c>
      <c r="B42" t="s">
        <v>167</v>
      </c>
      <c r="C42">
        <v>4</v>
      </c>
      <c r="D42" s="5">
        <v>10</v>
      </c>
    </row>
    <row r="43" spans="1:4" x14ac:dyDescent="0.3">
      <c r="A43" t="s">
        <v>405</v>
      </c>
      <c r="B43" t="s">
        <v>409</v>
      </c>
      <c r="C43">
        <v>30</v>
      </c>
      <c r="D43" s="5">
        <v>10</v>
      </c>
    </row>
    <row r="44" spans="1:4" x14ac:dyDescent="0.3">
      <c r="A44" t="s">
        <v>152</v>
      </c>
      <c r="B44" t="s">
        <v>156</v>
      </c>
      <c r="C44">
        <v>30</v>
      </c>
      <c r="D44" s="5">
        <v>10</v>
      </c>
    </row>
    <row r="45" spans="1:4" x14ac:dyDescent="0.3">
      <c r="A45" t="s">
        <v>425</v>
      </c>
      <c r="B45" t="s">
        <v>428</v>
      </c>
      <c r="C45">
        <v>12</v>
      </c>
      <c r="D45" s="5">
        <v>10</v>
      </c>
    </row>
    <row r="46" spans="1:4" x14ac:dyDescent="0.3">
      <c r="A46" t="s">
        <v>401</v>
      </c>
      <c r="B46" t="s">
        <v>268</v>
      </c>
      <c r="C46">
        <v>22</v>
      </c>
      <c r="D46" s="5">
        <v>10</v>
      </c>
    </row>
    <row r="47" spans="1:4" x14ac:dyDescent="0.3">
      <c r="A47" s="8" t="s">
        <v>208</v>
      </c>
      <c r="B47" t="s">
        <v>212</v>
      </c>
      <c r="D47" s="5">
        <v>10.5</v>
      </c>
    </row>
    <row r="48" spans="1:4" x14ac:dyDescent="0.3">
      <c r="A48" s="8" t="s">
        <v>146</v>
      </c>
      <c r="B48" t="s">
        <v>151</v>
      </c>
      <c r="C48">
        <v>50</v>
      </c>
      <c r="D48" s="5">
        <v>10.5</v>
      </c>
    </row>
    <row r="49" spans="1:4" x14ac:dyDescent="0.3">
      <c r="A49" t="s">
        <v>367</v>
      </c>
      <c r="B49" t="s">
        <v>370</v>
      </c>
      <c r="C49">
        <v>10</v>
      </c>
      <c r="D49" s="5">
        <v>11</v>
      </c>
    </row>
    <row r="50" spans="1:4" x14ac:dyDescent="0.3">
      <c r="A50" s="8" t="s">
        <v>188</v>
      </c>
      <c r="B50" t="s">
        <v>192</v>
      </c>
      <c r="C50">
        <v>80</v>
      </c>
      <c r="D50" s="5">
        <v>11.5</v>
      </c>
    </row>
    <row r="51" spans="1:4" x14ac:dyDescent="0.3">
      <c r="A51" s="8" t="s">
        <v>303</v>
      </c>
      <c r="B51" t="s">
        <v>307</v>
      </c>
      <c r="C51">
        <v>100</v>
      </c>
      <c r="D51" s="5">
        <v>12</v>
      </c>
    </row>
    <row r="52" spans="1:4" x14ac:dyDescent="0.3">
      <c r="A52" t="s">
        <v>164</v>
      </c>
      <c r="B52" t="s">
        <v>167</v>
      </c>
      <c r="C52">
        <v>25</v>
      </c>
      <c r="D52" s="5">
        <v>12</v>
      </c>
    </row>
    <row r="53" spans="1:4" x14ac:dyDescent="0.3">
      <c r="A53" t="s">
        <v>183</v>
      </c>
      <c r="B53" t="s">
        <v>516</v>
      </c>
      <c r="C53">
        <v>40</v>
      </c>
      <c r="D53" s="5">
        <v>12</v>
      </c>
    </row>
    <row r="56" spans="1:4" x14ac:dyDescent="0.3">
      <c r="B56" t="s">
        <v>560</v>
      </c>
      <c r="C56">
        <f>SUM(C2:C53)</f>
        <v>2106</v>
      </c>
    </row>
    <row r="57" spans="1:4" x14ac:dyDescent="0.3">
      <c r="B57" t="s">
        <v>590</v>
      </c>
      <c r="C57">
        <f>SUM(C50:C51,C47:C48,C40:C42,C30:C34,C22:C26,C9:C10,C4)</f>
        <v>881</v>
      </c>
    </row>
  </sheetData>
  <autoFilter ref="A1:D1" xr:uid="{E0230EF2-D983-4BAA-A824-40316C8F60E8}">
    <sortState xmlns:xlrd2="http://schemas.microsoft.com/office/spreadsheetml/2017/richdata2" ref="A2:D23">
      <sortCondition ref="D1"/>
    </sortState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8209-10F3-44D1-AB1D-0D01ADBB53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81C-C6F8-42AA-A312-8B89608D0372}">
  <dimension ref="A1:F108"/>
  <sheetViews>
    <sheetView workbookViewId="0">
      <selection activeCell="B83" sqref="B83"/>
    </sheetView>
  </sheetViews>
  <sheetFormatPr defaultRowHeight="14.4" x14ac:dyDescent="0.3"/>
  <cols>
    <col min="1" max="1" width="15.88671875" bestFit="1" customWidth="1"/>
    <col min="2" max="2" width="21.6640625" bestFit="1" customWidth="1"/>
    <col min="3" max="3" width="23.88671875" bestFit="1" customWidth="1"/>
    <col min="4" max="4" width="26.109375" bestFit="1" customWidth="1"/>
    <col min="5" max="5" width="25.5546875" bestFit="1" customWidth="1"/>
    <col min="6" max="6" width="13.33203125" bestFit="1" customWidth="1"/>
  </cols>
  <sheetData>
    <row r="1" spans="1:5" x14ac:dyDescent="0.3">
      <c r="A1" s="11" t="s">
        <v>6</v>
      </c>
      <c r="B1" s="11" t="s">
        <v>591</v>
      </c>
      <c r="C1" s="11" t="s">
        <v>592</v>
      </c>
      <c r="D1" s="11" t="s">
        <v>593</v>
      </c>
      <c r="E1" s="11" t="s">
        <v>594</v>
      </c>
    </row>
    <row r="2" spans="1:5" x14ac:dyDescent="0.3">
      <c r="A2" t="s">
        <v>151</v>
      </c>
      <c r="B2" t="s">
        <v>595</v>
      </c>
      <c r="C2" t="s">
        <v>596</v>
      </c>
      <c r="D2" t="s">
        <v>597</v>
      </c>
      <c r="E2" t="s">
        <v>595</v>
      </c>
    </row>
    <row r="3" spans="1:5" x14ac:dyDescent="0.3">
      <c r="A3" t="s">
        <v>149</v>
      </c>
      <c r="B3" t="s">
        <v>598</v>
      </c>
      <c r="C3" t="s">
        <v>599</v>
      </c>
      <c r="D3" t="s">
        <v>600</v>
      </c>
      <c r="E3" t="s">
        <v>601</v>
      </c>
    </row>
    <row r="4" spans="1:5" x14ac:dyDescent="0.3">
      <c r="A4" t="s">
        <v>242</v>
      </c>
      <c r="B4" t="s">
        <v>602</v>
      </c>
      <c r="C4" t="s">
        <v>603</v>
      </c>
      <c r="D4" t="s">
        <v>604</v>
      </c>
      <c r="E4" t="s">
        <v>605</v>
      </c>
    </row>
    <row r="5" spans="1:5" x14ac:dyDescent="0.3">
      <c r="A5" t="s">
        <v>192</v>
      </c>
      <c r="B5" t="s">
        <v>606</v>
      </c>
      <c r="C5" t="s">
        <v>607</v>
      </c>
      <c r="D5" t="s">
        <v>608</v>
      </c>
      <c r="E5" t="s">
        <v>609</v>
      </c>
    </row>
    <row r="6" spans="1:5" x14ac:dyDescent="0.3">
      <c r="A6" t="s">
        <v>610</v>
      </c>
      <c r="B6" t="s">
        <v>611</v>
      </c>
      <c r="C6" t="s">
        <v>612</v>
      </c>
      <c r="D6" t="s">
        <v>613</v>
      </c>
      <c r="E6" t="s">
        <v>614</v>
      </c>
    </row>
    <row r="7" spans="1:5" x14ac:dyDescent="0.3">
      <c r="A7" t="s">
        <v>302</v>
      </c>
      <c r="B7" t="s">
        <v>615</v>
      </c>
      <c r="C7" t="s">
        <v>616</v>
      </c>
      <c r="D7" t="s">
        <v>617</v>
      </c>
      <c r="E7" t="s">
        <v>618</v>
      </c>
    </row>
    <row r="8" spans="1:5" x14ac:dyDescent="0.3">
      <c r="A8" t="s">
        <v>619</v>
      </c>
      <c r="B8" t="s">
        <v>617</v>
      </c>
      <c r="C8" t="s">
        <v>620</v>
      </c>
      <c r="D8" t="s">
        <v>621</v>
      </c>
      <c r="E8" t="s">
        <v>617</v>
      </c>
    </row>
    <row r="9" spans="1:5" x14ac:dyDescent="0.3">
      <c r="A9" t="s">
        <v>333</v>
      </c>
      <c r="B9" t="s">
        <v>595</v>
      </c>
      <c r="C9" t="s">
        <v>622</v>
      </c>
      <c r="D9" t="s">
        <v>618</v>
      </c>
      <c r="E9" t="s">
        <v>623</v>
      </c>
    </row>
    <row r="10" spans="1:5" x14ac:dyDescent="0.3">
      <c r="A10" t="s">
        <v>268</v>
      </c>
      <c r="B10" t="s">
        <v>624</v>
      </c>
      <c r="C10" t="s">
        <v>625</v>
      </c>
      <c r="D10" t="s">
        <v>626</v>
      </c>
      <c r="E10" t="s">
        <v>627</v>
      </c>
    </row>
    <row r="11" spans="1:5" x14ac:dyDescent="0.3">
      <c r="A11" t="s">
        <v>26</v>
      </c>
      <c r="B11" t="s">
        <v>628</v>
      </c>
      <c r="C11" t="s">
        <v>629</v>
      </c>
      <c r="D11" t="s">
        <v>630</v>
      </c>
      <c r="E11" t="s">
        <v>631</v>
      </c>
    </row>
    <row r="12" spans="1:5" x14ac:dyDescent="0.3">
      <c r="A12" t="s">
        <v>348</v>
      </c>
      <c r="B12" t="s">
        <v>632</v>
      </c>
      <c r="C12" t="s">
        <v>617</v>
      </c>
      <c r="D12" t="s">
        <v>633</v>
      </c>
      <c r="E12" t="s">
        <v>634</v>
      </c>
    </row>
    <row r="13" spans="1:5" x14ac:dyDescent="0.3">
      <c r="A13" t="s">
        <v>362</v>
      </c>
      <c r="B13" t="s">
        <v>635</v>
      </c>
      <c r="C13" t="s">
        <v>595</v>
      </c>
      <c r="D13" t="s">
        <v>636</v>
      </c>
      <c r="E13" t="s">
        <v>623</v>
      </c>
    </row>
    <row r="14" spans="1:5" x14ac:dyDescent="0.3">
      <c r="A14" t="s">
        <v>470</v>
      </c>
      <c r="B14" t="s">
        <v>627</v>
      </c>
      <c r="C14" t="s">
        <v>637</v>
      </c>
      <c r="D14" t="s">
        <v>638</v>
      </c>
      <c r="E14" t="s">
        <v>624</v>
      </c>
    </row>
    <row r="15" spans="1:5" x14ac:dyDescent="0.3">
      <c r="A15" t="s">
        <v>409</v>
      </c>
      <c r="B15" t="s">
        <v>631</v>
      </c>
      <c r="C15" t="s">
        <v>613</v>
      </c>
      <c r="D15" t="s">
        <v>595</v>
      </c>
      <c r="E15" t="s">
        <v>639</v>
      </c>
    </row>
    <row r="16" spans="1:5" x14ac:dyDescent="0.3">
      <c r="A16" t="s">
        <v>353</v>
      </c>
      <c r="B16" t="s">
        <v>598</v>
      </c>
      <c r="C16" t="s">
        <v>640</v>
      </c>
      <c r="D16" t="s">
        <v>605</v>
      </c>
      <c r="E16" t="s">
        <v>621</v>
      </c>
    </row>
    <row r="17" spans="1:5" x14ac:dyDescent="0.3">
      <c r="A17" t="s">
        <v>483</v>
      </c>
      <c r="B17" t="s">
        <v>641</v>
      </c>
      <c r="C17" t="s">
        <v>642</v>
      </c>
      <c r="D17" t="s">
        <v>642</v>
      </c>
      <c r="E17" t="s">
        <v>643</v>
      </c>
    </row>
    <row r="18" spans="1:5" x14ac:dyDescent="0.3">
      <c r="A18" t="s">
        <v>644</v>
      </c>
      <c r="B18" t="s">
        <v>645</v>
      </c>
      <c r="C18" t="s">
        <v>603</v>
      </c>
      <c r="D18" t="s">
        <v>604</v>
      </c>
      <c r="E18" t="s">
        <v>605</v>
      </c>
    </row>
    <row r="19" spans="1:5" x14ac:dyDescent="0.3">
      <c r="A19" t="s">
        <v>646</v>
      </c>
      <c r="B19" t="s">
        <v>647</v>
      </c>
      <c r="C19" t="s">
        <v>648</v>
      </c>
      <c r="D19" t="s">
        <v>643</v>
      </c>
      <c r="E19" t="s">
        <v>645</v>
      </c>
    </row>
    <row r="20" spans="1:5" x14ac:dyDescent="0.3">
      <c r="A20" t="s">
        <v>649</v>
      </c>
      <c r="B20" t="s">
        <v>595</v>
      </c>
      <c r="C20" t="s">
        <v>596</v>
      </c>
      <c r="D20" t="s">
        <v>637</v>
      </c>
      <c r="E20" t="s">
        <v>595</v>
      </c>
    </row>
    <row r="21" spans="1:5" x14ac:dyDescent="0.3">
      <c r="A21" t="s">
        <v>216</v>
      </c>
      <c r="B21" t="s">
        <v>650</v>
      </c>
      <c r="C21" t="s">
        <v>640</v>
      </c>
      <c r="D21" t="s">
        <v>640</v>
      </c>
      <c r="E21" t="s">
        <v>601</v>
      </c>
    </row>
    <row r="22" spans="1:5" x14ac:dyDescent="0.3">
      <c r="A22" t="s">
        <v>651</v>
      </c>
      <c r="B22" t="s">
        <v>621</v>
      </c>
      <c r="C22" t="s">
        <v>652</v>
      </c>
      <c r="D22" t="s">
        <v>652</v>
      </c>
      <c r="E22" t="s">
        <v>653</v>
      </c>
    </row>
    <row r="23" spans="1:5" x14ac:dyDescent="0.3">
      <c r="A23" t="s">
        <v>582</v>
      </c>
      <c r="B23" t="s">
        <v>654</v>
      </c>
      <c r="C23" t="s">
        <v>595</v>
      </c>
      <c r="D23" t="s">
        <v>655</v>
      </c>
      <c r="E23" t="s">
        <v>656</v>
      </c>
    </row>
    <row r="24" spans="1:5" x14ac:dyDescent="0.3">
      <c r="A24" t="s">
        <v>86</v>
      </c>
      <c r="B24" t="s">
        <v>657</v>
      </c>
      <c r="C24" t="s">
        <v>603</v>
      </c>
      <c r="D24" t="s">
        <v>604</v>
      </c>
      <c r="E24" t="s">
        <v>640</v>
      </c>
    </row>
    <row r="25" spans="1:5" x14ac:dyDescent="0.3">
      <c r="A25" t="s">
        <v>518</v>
      </c>
      <c r="B25" t="s">
        <v>637</v>
      </c>
      <c r="C25" t="s">
        <v>658</v>
      </c>
      <c r="D25" t="s">
        <v>640</v>
      </c>
      <c r="E25" t="s">
        <v>608</v>
      </c>
    </row>
    <row r="26" spans="1:5" x14ac:dyDescent="0.3">
      <c r="A26" t="s">
        <v>519</v>
      </c>
      <c r="B26" t="s">
        <v>659</v>
      </c>
      <c r="C26" t="s">
        <v>660</v>
      </c>
      <c r="D26" t="s">
        <v>634</v>
      </c>
      <c r="E26" t="s">
        <v>661</v>
      </c>
    </row>
    <row r="27" spans="1:5" x14ac:dyDescent="0.3">
      <c r="A27" t="s">
        <v>503</v>
      </c>
      <c r="B27" t="s">
        <v>662</v>
      </c>
      <c r="C27" t="s">
        <v>595</v>
      </c>
      <c r="D27" t="s">
        <v>659</v>
      </c>
      <c r="E27" t="s">
        <v>654</v>
      </c>
    </row>
    <row r="28" spans="1:5" x14ac:dyDescent="0.3">
      <c r="A28" t="s">
        <v>174</v>
      </c>
      <c r="B28" t="s">
        <v>663</v>
      </c>
      <c r="C28" t="s">
        <v>661</v>
      </c>
      <c r="D28" t="s">
        <v>664</v>
      </c>
      <c r="E28" t="s">
        <v>660</v>
      </c>
    </row>
    <row r="29" spans="1:5" x14ac:dyDescent="0.3">
      <c r="A29" t="s">
        <v>169</v>
      </c>
      <c r="B29" t="s">
        <v>665</v>
      </c>
      <c r="C29" t="s">
        <v>666</v>
      </c>
      <c r="D29" t="s">
        <v>667</v>
      </c>
      <c r="E29" t="s">
        <v>654</v>
      </c>
    </row>
    <row r="30" spans="1:5" x14ac:dyDescent="0.3">
      <c r="A30" t="s">
        <v>168</v>
      </c>
      <c r="B30" t="s">
        <v>655</v>
      </c>
      <c r="C30" t="s">
        <v>668</v>
      </c>
      <c r="D30" t="s">
        <v>669</v>
      </c>
      <c r="E30" t="s">
        <v>670</v>
      </c>
    </row>
    <row r="31" spans="1:5" x14ac:dyDescent="0.3">
      <c r="A31" t="s">
        <v>671</v>
      </c>
      <c r="B31" t="s">
        <v>654</v>
      </c>
      <c r="C31" t="s">
        <v>637</v>
      </c>
      <c r="D31" t="s">
        <v>672</v>
      </c>
      <c r="E31" t="s">
        <v>673</v>
      </c>
    </row>
    <row r="37" spans="1:4" x14ac:dyDescent="0.3">
      <c r="B37" t="s">
        <v>674</v>
      </c>
      <c r="C37" t="s">
        <v>675</v>
      </c>
      <c r="D37" t="s">
        <v>676</v>
      </c>
    </row>
    <row r="38" spans="1:4" x14ac:dyDescent="0.3">
      <c r="A38" t="s">
        <v>677</v>
      </c>
      <c r="C38">
        <v>414</v>
      </c>
      <c r="D38">
        <v>7</v>
      </c>
    </row>
    <row r="39" spans="1:4" x14ac:dyDescent="0.3">
      <c r="A39" t="s">
        <v>225</v>
      </c>
      <c r="C39">
        <v>600</v>
      </c>
      <c r="D39">
        <v>10</v>
      </c>
    </row>
    <row r="40" spans="1:4" x14ac:dyDescent="0.3">
      <c r="A40" t="s">
        <v>430</v>
      </c>
      <c r="C40">
        <v>600</v>
      </c>
      <c r="D40">
        <v>10</v>
      </c>
    </row>
    <row r="41" spans="1:4" x14ac:dyDescent="0.3">
      <c r="A41" t="s">
        <v>253</v>
      </c>
      <c r="C41">
        <v>500</v>
      </c>
      <c r="D41">
        <v>9</v>
      </c>
    </row>
    <row r="42" spans="1:4" x14ac:dyDescent="0.3">
      <c r="A42" t="s">
        <v>98</v>
      </c>
      <c r="C42">
        <v>620</v>
      </c>
      <c r="D42">
        <v>11</v>
      </c>
    </row>
    <row r="43" spans="1:4" x14ac:dyDescent="0.3">
      <c r="A43" t="s">
        <v>678</v>
      </c>
      <c r="C43">
        <v>670</v>
      </c>
      <c r="D43">
        <v>12</v>
      </c>
    </row>
    <row r="44" spans="1:4" x14ac:dyDescent="0.3">
      <c r="A44" t="s">
        <v>61</v>
      </c>
      <c r="C44">
        <v>600</v>
      </c>
      <c r="D44">
        <v>10</v>
      </c>
    </row>
    <row r="45" spans="1:4" x14ac:dyDescent="0.3">
      <c r="A45" t="s">
        <v>268</v>
      </c>
      <c r="C45">
        <v>530</v>
      </c>
      <c r="D45">
        <v>9</v>
      </c>
    </row>
    <row r="46" spans="1:4" x14ac:dyDescent="0.3">
      <c r="A46" t="s">
        <v>270</v>
      </c>
      <c r="C46">
        <v>500</v>
      </c>
      <c r="D46">
        <v>9</v>
      </c>
    </row>
    <row r="47" spans="1:4" x14ac:dyDescent="0.3">
      <c r="A47" t="s">
        <v>514</v>
      </c>
      <c r="C47">
        <v>388</v>
      </c>
      <c r="D47">
        <v>6</v>
      </c>
    </row>
    <row r="50" spans="1:6" x14ac:dyDescent="0.3">
      <c r="F50" t="s">
        <v>679</v>
      </c>
    </row>
    <row r="51" spans="1:6" x14ac:dyDescent="0.3">
      <c r="B51" t="s">
        <v>680</v>
      </c>
      <c r="F51" t="s">
        <v>73</v>
      </c>
    </row>
    <row r="52" spans="1:6" x14ac:dyDescent="0.3">
      <c r="A52" t="s">
        <v>46</v>
      </c>
      <c r="F52" t="s">
        <v>513</v>
      </c>
    </row>
    <row r="53" spans="1:6" x14ac:dyDescent="0.3">
      <c r="A53" t="s">
        <v>286</v>
      </c>
      <c r="F53" t="s">
        <v>274</v>
      </c>
    </row>
    <row r="54" spans="1:6" x14ac:dyDescent="0.3">
      <c r="A54" t="s">
        <v>438</v>
      </c>
      <c r="F54" t="s">
        <v>321</v>
      </c>
    </row>
    <row r="55" spans="1:6" x14ac:dyDescent="0.3">
      <c r="A55" t="s">
        <v>399</v>
      </c>
      <c r="F55" t="s">
        <v>503</v>
      </c>
    </row>
    <row r="56" spans="1:6" x14ac:dyDescent="0.3">
      <c r="A56" t="s">
        <v>400</v>
      </c>
      <c r="F56" t="s">
        <v>671</v>
      </c>
    </row>
    <row r="57" spans="1:6" x14ac:dyDescent="0.3">
      <c r="A57" t="s">
        <v>395</v>
      </c>
      <c r="F57" t="s">
        <v>519</v>
      </c>
    </row>
    <row r="58" spans="1:6" x14ac:dyDescent="0.3">
      <c r="A58" t="s">
        <v>123</v>
      </c>
      <c r="F58" t="s">
        <v>333</v>
      </c>
    </row>
    <row r="59" spans="1:6" x14ac:dyDescent="0.3">
      <c r="A59" t="s">
        <v>34</v>
      </c>
      <c r="F59" t="s">
        <v>26</v>
      </c>
    </row>
    <row r="60" spans="1:6" x14ac:dyDescent="0.3">
      <c r="A60" t="s">
        <v>34</v>
      </c>
      <c r="F60" t="s">
        <v>268</v>
      </c>
    </row>
    <row r="61" spans="1:6" x14ac:dyDescent="0.3">
      <c r="A61" t="s">
        <v>33</v>
      </c>
      <c r="F61" t="s">
        <v>336</v>
      </c>
    </row>
    <row r="62" spans="1:6" x14ac:dyDescent="0.3">
      <c r="A62" t="s">
        <v>492</v>
      </c>
      <c r="F62" t="s">
        <v>348</v>
      </c>
    </row>
    <row r="63" spans="1:6" x14ac:dyDescent="0.3">
      <c r="A63" t="s">
        <v>491</v>
      </c>
      <c r="F63" t="s">
        <v>470</v>
      </c>
    </row>
    <row r="64" spans="1:6" x14ac:dyDescent="0.3">
      <c r="A64" t="s">
        <v>449</v>
      </c>
      <c r="F64" t="s">
        <v>158</v>
      </c>
    </row>
    <row r="65" spans="1:6" x14ac:dyDescent="0.3">
      <c r="A65" t="s">
        <v>453</v>
      </c>
      <c r="F65" t="s">
        <v>387</v>
      </c>
    </row>
    <row r="66" spans="1:6" x14ac:dyDescent="0.3">
      <c r="A66" t="s">
        <v>282</v>
      </c>
    </row>
    <row r="67" spans="1:6" x14ac:dyDescent="0.3">
      <c r="A67" t="s">
        <v>302</v>
      </c>
    </row>
    <row r="68" spans="1:6" x14ac:dyDescent="0.3">
      <c r="A68" t="s">
        <v>163</v>
      </c>
    </row>
    <row r="69" spans="1:6" x14ac:dyDescent="0.3">
      <c r="A69" t="s">
        <v>537</v>
      </c>
    </row>
    <row r="70" spans="1:6" x14ac:dyDescent="0.3">
      <c r="A70" t="s">
        <v>242</v>
      </c>
    </row>
    <row r="71" spans="1:6" x14ac:dyDescent="0.3">
      <c r="A71" t="s">
        <v>138</v>
      </c>
    </row>
    <row r="72" spans="1:6" x14ac:dyDescent="0.3">
      <c r="A72" t="s">
        <v>521</v>
      </c>
    </row>
    <row r="73" spans="1:6" x14ac:dyDescent="0.3">
      <c r="A73" t="s">
        <v>88</v>
      </c>
    </row>
    <row r="74" spans="1:6" x14ac:dyDescent="0.3">
      <c r="A74" t="s">
        <v>307</v>
      </c>
    </row>
    <row r="75" spans="1:6" x14ac:dyDescent="0.3">
      <c r="A75" t="s">
        <v>538</v>
      </c>
    </row>
    <row r="76" spans="1:6" x14ac:dyDescent="0.3">
      <c r="A76" t="s">
        <v>156</v>
      </c>
    </row>
    <row r="77" spans="1:6" x14ac:dyDescent="0.3">
      <c r="A77" t="s">
        <v>428</v>
      </c>
    </row>
    <row r="78" spans="1:6" x14ac:dyDescent="0.3">
      <c r="A78" t="s">
        <v>290</v>
      </c>
    </row>
    <row r="79" spans="1:6" x14ac:dyDescent="0.3">
      <c r="A79" t="s">
        <v>61</v>
      </c>
    </row>
    <row r="82" spans="1:4" x14ac:dyDescent="0.3">
      <c r="B82" s="37">
        <v>45750</v>
      </c>
    </row>
    <row r="84" spans="1:4" x14ac:dyDescent="0.3">
      <c r="D84" t="s">
        <v>53</v>
      </c>
    </row>
    <row r="85" spans="1:4" x14ac:dyDescent="0.3">
      <c r="A85" t="s">
        <v>681</v>
      </c>
      <c r="D85" t="s">
        <v>321</v>
      </c>
    </row>
    <row r="86" spans="1:4" x14ac:dyDescent="0.3">
      <c r="A86" t="s">
        <v>682</v>
      </c>
      <c r="D86" t="s">
        <v>503</v>
      </c>
    </row>
    <row r="87" spans="1:4" x14ac:dyDescent="0.3">
      <c r="A87" t="s">
        <v>409</v>
      </c>
      <c r="D87" t="s">
        <v>671</v>
      </c>
    </row>
    <row r="88" spans="1:4" x14ac:dyDescent="0.3">
      <c r="A88" t="s">
        <v>496</v>
      </c>
      <c r="D88" t="s">
        <v>683</v>
      </c>
    </row>
    <row r="89" spans="1:4" x14ac:dyDescent="0.3">
      <c r="A89" t="s">
        <v>156</v>
      </c>
      <c r="D89" t="s">
        <v>333</v>
      </c>
    </row>
    <row r="90" spans="1:4" x14ac:dyDescent="0.3">
      <c r="A90" t="s">
        <v>61</v>
      </c>
      <c r="D90" t="s">
        <v>268</v>
      </c>
    </row>
    <row r="91" spans="1:4" x14ac:dyDescent="0.3">
      <c r="A91" t="s">
        <v>286</v>
      </c>
      <c r="D91" t="s">
        <v>336</v>
      </c>
    </row>
    <row r="92" spans="1:4" x14ac:dyDescent="0.3">
      <c r="A92" t="s">
        <v>395</v>
      </c>
      <c r="D92" t="s">
        <v>470</v>
      </c>
    </row>
    <row r="93" spans="1:4" x14ac:dyDescent="0.3">
      <c r="A93" t="s">
        <v>98</v>
      </c>
      <c r="D93" t="s">
        <v>158</v>
      </c>
    </row>
    <row r="94" spans="1:4" x14ac:dyDescent="0.3">
      <c r="A94" t="s">
        <v>430</v>
      </c>
      <c r="D94" t="s">
        <v>387</v>
      </c>
    </row>
    <row r="95" spans="1:4" x14ac:dyDescent="0.3">
      <c r="A95" t="s">
        <v>514</v>
      </c>
    </row>
    <row r="96" spans="1:4" x14ac:dyDescent="0.3">
      <c r="A96" t="s">
        <v>73</v>
      </c>
    </row>
    <row r="97" spans="1:1" x14ac:dyDescent="0.3">
      <c r="A97" t="s">
        <v>684</v>
      </c>
    </row>
    <row r="98" spans="1:1" x14ac:dyDescent="0.3">
      <c r="A98" t="s">
        <v>400</v>
      </c>
    </row>
    <row r="99" spans="1:1" x14ac:dyDescent="0.3">
      <c r="A99" t="s">
        <v>399</v>
      </c>
    </row>
    <row r="100" spans="1:1" x14ac:dyDescent="0.3">
      <c r="A100" t="s">
        <v>225</v>
      </c>
    </row>
    <row r="101" spans="1:1" x14ac:dyDescent="0.3">
      <c r="A101" t="s">
        <v>268</v>
      </c>
    </row>
    <row r="102" spans="1:1" x14ac:dyDescent="0.3">
      <c r="A102" t="s">
        <v>362</v>
      </c>
    </row>
    <row r="103" spans="1:1" x14ac:dyDescent="0.3">
      <c r="A103" t="s">
        <v>163</v>
      </c>
    </row>
    <row r="104" spans="1:1" x14ac:dyDescent="0.3">
      <c r="A104" t="s">
        <v>281</v>
      </c>
    </row>
    <row r="105" spans="1:1" x14ac:dyDescent="0.3">
      <c r="A105" t="s">
        <v>685</v>
      </c>
    </row>
    <row r="106" spans="1:1" x14ac:dyDescent="0.3">
      <c r="A106" t="s">
        <v>686</v>
      </c>
    </row>
    <row r="107" spans="1:1" x14ac:dyDescent="0.3">
      <c r="A107" t="s">
        <v>267</v>
      </c>
    </row>
    <row r="108" spans="1:1" x14ac:dyDescent="0.3">
      <c r="A108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6.27.25 ZB</vt:lpstr>
      <vt:lpstr>6.7.25 ZB</vt:lpstr>
      <vt:lpstr>5.27.25 BH</vt:lpstr>
      <vt:lpstr>5.24.25 BH</vt:lpstr>
      <vt:lpstr>AEP WV 5.16.25</vt:lpstr>
      <vt:lpstr>LGE KU 5.16.25</vt:lpstr>
      <vt:lpstr>4.4.25 BH</vt:lpstr>
      <vt:lpstr>4.3.25 BH</vt:lpstr>
      <vt:lpstr>Updated BH 4.2.25</vt:lpstr>
      <vt:lpstr>4.2.25 sub counts</vt:lpstr>
      <vt:lpstr>Duke Midwest</vt:lpstr>
      <vt:lpstr>Rick Wiseman AEP</vt:lpstr>
      <vt:lpstr>Updated Entergy AR</vt:lpstr>
      <vt:lpstr>Entergy AR</vt:lpstr>
      <vt:lpstr>NIPSCO</vt:lpstr>
      <vt:lpstr>DTE</vt:lpstr>
      <vt:lpstr>GA Power</vt:lpstr>
      <vt:lpstr>Alabama Power</vt:lpstr>
      <vt:lpstr>Entergy</vt:lpstr>
      <vt:lpstr>AEP </vt:lpstr>
      <vt:lpstr>Sheet1</vt:lpstr>
      <vt:lpstr>Mileage sheet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Brandalynn Hadley</dc:creator>
  <cp:keywords/>
  <dc:description/>
  <cp:lastModifiedBy>Zane Brooks</cp:lastModifiedBy>
  <cp:revision/>
  <dcterms:created xsi:type="dcterms:W3CDTF">2025-03-03T22:42:27Z</dcterms:created>
  <dcterms:modified xsi:type="dcterms:W3CDTF">2025-06-28T16:08:05Z</dcterms:modified>
  <cp:category/>
  <cp:contentStatus/>
</cp:coreProperties>
</file>